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2 (a)" sheetId="1" r:id="rId5"/>
    <sheet state="visible" name="group 34 (b)" sheetId="2" r:id="rId6"/>
  </sheets>
  <definedNames/>
  <calcPr/>
</workbook>
</file>

<file path=xl/sharedStrings.xml><?xml version="1.0" encoding="utf-8"?>
<sst xmlns="http://schemas.openxmlformats.org/spreadsheetml/2006/main" count="3219" uniqueCount="155">
  <si>
    <t>C++ MCQ Exam — Version A — Grading Sheet</t>
  </si>
  <si>
    <t>Enter answers (A/B/C/D) per student. Score computed automatically.  Total: 100 pts  |  Green = correct  |  Red = wrong</t>
  </si>
  <si>
    <t>Student ID</t>
  </si>
  <si>
    <t>English Name</t>
  </si>
  <si>
    <t>Name</t>
  </si>
  <si>
    <t>Score /100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</si>
  <si>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</si>
  <si>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</si>
  <si>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</si>
  <si>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</si>
  <si>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</si>
  <si>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</si>
  <si>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</si>
  <si>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</si>
  <si>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</si>
  <si>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</si>
  <si>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</si>
  <si>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</si>
  <si>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</si>
  <si>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</si>
  <si>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</si>
  <si>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</si>
  <si>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</si>
  <si>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</si>
  <si>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</si>
  <si>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</si>
  <si>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</si>
  <si>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</si>
  <si>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</si>
  <si>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</si>
  <si>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</si>
  <si>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</si>
  <si>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</si>
  <si>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</si>
  <si>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</si>
  <si>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</si>
  <si>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POINTS</t>
  </si>
  <si>
    <t>ANSWER KEY</t>
  </si>
  <si>
    <t>A</t>
  </si>
  <si>
    <t>B</t>
  </si>
  <si>
    <t>C</t>
  </si>
  <si>
    <t>D</t>
  </si>
  <si>
    <t>ramos</t>
  </si>
  <si>
    <t>c</t>
  </si>
  <si>
    <t>b</t>
  </si>
  <si>
    <t>d</t>
  </si>
  <si>
    <t>a</t>
  </si>
  <si>
    <t>Simon_1</t>
  </si>
  <si>
    <t>boris</t>
  </si>
  <si>
    <t>mika</t>
  </si>
  <si>
    <t>Judge</t>
  </si>
  <si>
    <r>
      <rPr>
        <rFont val="等线"/>
        <color rgb="FF000000"/>
        <sz val="11.0"/>
      </rPr>
      <t>Sakuya</t>
    </r>
  </si>
  <si>
    <r>
      <rPr>
        <rFont val="等线"/>
        <color rgb="FF000000"/>
        <sz val="11.0"/>
      </rPr>
      <t>Alice</t>
    </r>
  </si>
  <si>
    <t>李培生</t>
  </si>
  <si>
    <r>
      <rPr>
        <rFont val="等线"/>
        <color rgb="FF000000"/>
        <sz val="11.0"/>
      </rPr>
      <t>Carry</t>
    </r>
  </si>
  <si>
    <r>
      <rPr>
        <rFont val="等线"/>
        <color rgb="FF000000"/>
        <sz val="11.0"/>
      </rPr>
      <t>Betty</t>
    </r>
  </si>
  <si>
    <t>brimstone</t>
  </si>
  <si>
    <t>Simon</t>
  </si>
  <si>
    <r>
      <rPr>
        <rFont val="等线"/>
        <color rgb="FF000000"/>
        <sz val="11.0"/>
      </rPr>
      <t>Riley</t>
    </r>
  </si>
  <si>
    <t>jett</t>
  </si>
  <si>
    <t>Andrew</t>
  </si>
  <si>
    <t>Mike.chen</t>
  </si>
  <si>
    <r>
      <rPr>
        <rFont val="等线"/>
        <color rgb="FF000000"/>
        <sz val="11.0"/>
      </rPr>
      <t>Lucy</t>
    </r>
  </si>
  <si>
    <t>Henry</t>
  </si>
  <si>
    <t>Search</t>
  </si>
  <si>
    <t>Upster</t>
  </si>
  <si>
    <t>han</t>
  </si>
  <si>
    <t>Jason</t>
  </si>
  <si>
    <r>
      <rPr>
        <rFont val="等线"/>
        <color rgb="FF000000"/>
        <sz val="11.0"/>
      </rPr>
      <t>Echo</t>
    </r>
  </si>
  <si>
    <t>froncois</t>
  </si>
  <si>
    <t>lee latin</t>
  </si>
  <si>
    <t>otherson</t>
  </si>
  <si>
    <t>Alex</t>
  </si>
  <si>
    <t>Andy</t>
  </si>
  <si>
    <r>
      <rPr>
        <rFont val="等线"/>
        <color rgb="FF000000"/>
        <sz val="11.0"/>
      </rPr>
      <t>brown</t>
    </r>
  </si>
  <si>
    <r>
      <rPr>
        <rFont val="等线"/>
        <color rgb="FF000000"/>
        <sz val="11.0"/>
      </rPr>
      <t>Arthur</t>
    </r>
  </si>
  <si>
    <t>Yori</t>
  </si>
  <si>
    <t>Daniel</t>
  </si>
  <si>
    <r>
      <rPr>
        <rFont val="等线"/>
        <color rgb="FF000000"/>
        <sz val="11.0"/>
      </rPr>
      <t>Jason</t>
    </r>
  </si>
  <si>
    <t>Makayla</t>
  </si>
  <si>
    <r>
      <rPr>
        <rFont val="等线"/>
        <color rgb="FF000000"/>
        <sz val="11.0"/>
      </rPr>
      <t>Akali</t>
    </r>
  </si>
  <si>
    <t>nancy</t>
  </si>
  <si>
    <r>
      <rPr>
        <rFont val="等线"/>
        <color rgb="FF000000"/>
        <sz val="11.0"/>
      </rPr>
      <t>Tiara</t>
    </r>
  </si>
  <si>
    <t>Alysa</t>
  </si>
  <si>
    <r>
      <rPr>
        <rFont val="等线"/>
        <color rgb="FF000000"/>
        <sz val="11.0"/>
      </rPr>
      <t>Noah</t>
    </r>
  </si>
  <si>
    <r>
      <rPr>
        <rFont val="等线"/>
        <color rgb="FF000000"/>
        <sz val="11.0"/>
      </rPr>
      <t>Hilbert</t>
    </r>
  </si>
  <si>
    <r>
      <rPr>
        <rFont val="等线"/>
        <color rgb="FF000000"/>
        <sz val="11.0"/>
      </rPr>
      <t>Clare</t>
    </r>
  </si>
  <si>
    <r>
      <rPr>
        <rFont val="等线"/>
        <color rgb="FF000000"/>
        <sz val="11.0"/>
      </rPr>
      <t>Jesko</t>
    </r>
  </si>
  <si>
    <r>
      <rPr>
        <rFont val="等线"/>
        <color rgb="FF000000"/>
        <sz val="11.0"/>
      </rPr>
      <t>winham</t>
    </r>
  </si>
  <si>
    <t>Nimo</t>
  </si>
  <si>
    <t>Aleksib</t>
  </si>
  <si>
    <r>
      <rPr>
        <rFont val="等线"/>
        <color rgb="FF000000"/>
        <sz val="11.0"/>
      </rPr>
      <t>Shane</t>
    </r>
  </si>
  <si>
    <t>程星宇</t>
  </si>
  <si>
    <r>
      <rPr>
        <rFont val="等线"/>
        <color rgb="FF000000"/>
        <sz val="11.0"/>
      </rPr>
      <t>Serein</t>
    </r>
  </si>
  <si>
    <t>陈溢苹</t>
  </si>
  <si>
    <r>
      <rPr>
        <rFont val="等线"/>
        <color theme="1"/>
        <sz val="11.0"/>
      </rPr>
      <t>Tohsaka</t>
    </r>
  </si>
  <si>
    <r>
      <rPr>
        <rFont val="等线"/>
        <color rgb="FF000000"/>
        <sz val="11.0"/>
      </rPr>
      <t>Eason</t>
    </r>
  </si>
  <si>
    <t>doris</t>
  </si>
  <si>
    <t>陈怡彤</t>
  </si>
  <si>
    <t>verena</t>
  </si>
  <si>
    <t>CLASS AVERAGE</t>
  </si>
  <si>
    <t>HIGHEST SCORE</t>
  </si>
  <si>
    <t>LOWEST SCORE</t>
  </si>
  <si>
    <t>C++ MCQ Exam — Version B — Grading Sheet</t>
  </si>
  <si>
    <t>Copper</t>
  </si>
  <si>
    <t>simon</t>
  </si>
  <si>
    <t>leo</t>
  </si>
  <si>
    <t>log</t>
  </si>
  <si>
    <t>jason bond</t>
  </si>
  <si>
    <t>tom</t>
  </si>
  <si>
    <t>carter</t>
  </si>
  <si>
    <t>emile</t>
  </si>
  <si>
    <t>Jimmy</t>
  </si>
  <si>
    <t>buck</t>
  </si>
  <si>
    <t>carl</t>
  </si>
  <si>
    <t>deckard</t>
  </si>
  <si>
    <t>maple</t>
  </si>
  <si>
    <t>victoria</t>
  </si>
  <si>
    <t>Gillian</t>
  </si>
  <si>
    <t>sky</t>
  </si>
  <si>
    <t>rhys</t>
  </si>
  <si>
    <t>bob</t>
  </si>
  <si>
    <t>rafael</t>
  </si>
  <si>
    <t>leeking</t>
  </si>
  <si>
    <t>ronaldo</t>
  </si>
  <si>
    <t>ricardo</t>
  </si>
  <si>
    <t>peter</t>
  </si>
  <si>
    <t>sisyphus</t>
  </si>
  <si>
    <t>johnny</t>
  </si>
  <si>
    <t>pojock</t>
  </si>
  <si>
    <t>Johnson</t>
  </si>
  <si>
    <t>valentin</t>
  </si>
  <si>
    <t>violet</t>
  </si>
  <si>
    <t>liesel</t>
  </si>
  <si>
    <t>melkiades</t>
  </si>
  <si>
    <t>jelly</t>
  </si>
  <si>
    <t>livia</t>
  </si>
  <si>
    <t>zack</t>
  </si>
  <si>
    <t>Kenley</t>
  </si>
  <si>
    <t>stella</t>
  </si>
  <si>
    <t>simple</t>
  </si>
  <si>
    <t>ike</t>
  </si>
  <si>
    <t>stephen</t>
  </si>
  <si>
    <t>freya</t>
  </si>
  <si>
    <t>keith</t>
  </si>
  <si>
    <t>sanody</t>
  </si>
  <si>
    <t>Ivan</t>
  </si>
  <si>
    <t>melody</t>
  </si>
  <si>
    <t>charles</t>
  </si>
  <si>
    <t>eric</t>
  </si>
  <si>
    <t>陈亦力</t>
  </si>
  <si>
    <t>laura</t>
  </si>
  <si>
    <t>daniel</t>
  </si>
  <si>
    <t>robin</t>
  </si>
  <si>
    <t>vernon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</si>
</sst>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1.0"/>
      <color theme="1"/>
      <name val="Arial"/>
      <scheme val="minor"/>
    </font>
    <font>
      <b/>
      <sz val="16.0"/>
      <color rgb="FFFFFFFF"/>
      <name val="Arial"/>
    </font>
    <font/>
    <font>
      <i/>
      <sz val="10.0"/>
      <color rgb="FF2D5694"/>
      <name val="Arial"/>
    </font>
    <font>
      <b/>
      <sz val="10.0"/>
      <color rgb="FFFFFFFF"/>
      <name val="Arial"/>
    </font>
    <font>
      <b/>
      <sz val="9.0"/>
      <color rgb="FF1A2744"/>
      <name val="Arial"/>
    </font>
    <font>
      <sz val="11.0"/>
      <color theme="1"/>
      <name val="Calibri"/>
    </font>
    <font>
      <b/>
      <sz val="10.0"/>
      <color rgb="FF1A2744"/>
      <name val="Arial"/>
    </font>
    <font>
      <b/>
      <sz val="9.0"/>
      <color rgb="FFFFFFFF"/>
      <name val="Arial"/>
    </font>
    <font>
      <b/>
      <sz val="11.0"/>
      <color rgb="FF1A2744"/>
      <name val="Arial"/>
    </font>
    <font>
      <sz val="10.0"/>
      <color theme="1"/>
      <name val="Arial"/>
    </font>
    <font>
      <b/>
      <sz val="12.0"/>
      <color rgb="FF1A2744"/>
      <name val="Arial"/>
    </font>
    <font>
      <sz val="11.0"/>
      <color theme="1"/>
      <name val="Arial"/>
    </font>
    <font>
      <b/>
      <sz val="11.0"/>
      <color rgb="FFFFFFFF"/>
      <name val="Arial"/>
    </font>
    <font>
      <b/>
      <sz val="10.0"/>
      <color rgb="FF2D5694"/>
      <name val="Arial"/>
    </font>
    <font>
      <b/>
      <sz val="11.0"/>
      <color rgb="FF2D5694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A2744"/>
        <bgColor rgb="FF1A2744"/>
      </patternFill>
    </fill>
    <fill>
      <patternFill patternType="solid">
        <fgColor rgb="FFE8F0FE"/>
        <bgColor rgb="FFE8F0FE"/>
      </patternFill>
    </fill>
    <fill>
      <patternFill patternType="solid">
        <fgColor rgb="FF2D5694"/>
        <bgColor rgb="FF2D5694"/>
      </patternFill>
    </fill>
    <fill>
      <patternFill patternType="solid">
        <fgColor rgb="FFFFF3D0"/>
        <bgColor rgb="FFFFF3D0"/>
      </patternFill>
    </fill>
    <fill>
      <patternFill patternType="solid">
        <fgColor rgb="FFF0B429"/>
        <bgColor rgb="FFF0B429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9900"/>
        <bgColor rgb="FFFF9900"/>
      </patternFill>
    </fill>
    <fill>
      <patternFill patternType="solid">
        <fgColor rgb="FF3A7BD5"/>
        <bgColor rgb="FF3A7BD5"/>
      </patternFill>
    </fill>
  </fills>
  <borders count="9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A274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ill="1" applyFont="1">
      <alignment horizontal="center" shrinkToFit="0" vertical="center" wrapText="0"/>
    </xf>
    <xf borderId="4" fillId="5" fontId="6" numFmtId="0" xfId="0" applyAlignment="1" applyBorder="1" applyFont="1">
      <alignment shrinkToFit="0" vertical="bottom" wrapText="0"/>
    </xf>
    <xf borderId="4" fillId="5" fontId="7" numFmtId="0" xfId="0" applyAlignment="1" applyBorder="1" applyFont="1">
      <alignment horizontal="center" shrinkToFit="0" vertical="center" wrapText="0"/>
    </xf>
    <xf borderId="5" fillId="6" fontId="8" numFmtId="0" xfId="0" applyAlignment="1" applyBorder="1" applyFill="1" applyFont="1">
      <alignment horizontal="center" shrinkToFit="0" vertical="center" wrapText="0"/>
    </xf>
    <xf borderId="5" fillId="6" fontId="6" numFmtId="0" xfId="0" applyAlignment="1" applyBorder="1" applyFont="1">
      <alignment shrinkToFit="0" vertical="bottom" wrapText="0"/>
    </xf>
    <xf borderId="5" fillId="6" fontId="9" numFmtId="0" xfId="0" applyAlignment="1" applyBorder="1" applyFont="1">
      <alignment horizontal="center" shrinkToFit="0" vertical="center" wrapText="0"/>
    </xf>
    <xf borderId="4" fillId="7" fontId="10" numFmtId="0" xfId="0" applyAlignment="1" applyBorder="1" applyFill="1" applyFont="1">
      <alignment horizontal="center" readingOrder="0" shrinkToFit="0" vertical="center" wrapText="0"/>
    </xf>
    <xf borderId="4" fillId="7" fontId="10" numFmtId="0" xfId="0" applyAlignment="1" applyBorder="1" applyFont="1">
      <alignment horizontal="left" readingOrder="0" shrinkToFit="0" vertical="center" wrapText="0"/>
    </xf>
    <xf borderId="4" fillId="7" fontId="11" numFmtId="0" xfId="0" applyAlignment="1" applyBorder="1" applyFont="1">
      <alignment horizontal="center" shrinkToFit="0" vertical="center" wrapText="0"/>
    </xf>
    <xf borderId="4" fillId="8" fontId="10" numFmtId="0" xfId="0" applyAlignment="1" applyBorder="1" applyFill="1" applyFont="1">
      <alignment horizontal="left" readingOrder="0" shrinkToFit="0" vertical="center" wrapText="0"/>
    </xf>
    <xf borderId="4" fillId="8" fontId="11" numFmtId="0" xfId="0" applyAlignment="1" applyBorder="1" applyFont="1">
      <alignment horizontal="center" shrinkToFit="0" vertical="center" wrapText="0"/>
    </xf>
    <xf borderId="4" fillId="8" fontId="10" numFmtId="0" xfId="0" applyAlignment="1" applyBorder="1" applyFont="1">
      <alignment horizontal="center" readingOrder="0" shrinkToFit="0" vertical="center" wrapText="0"/>
    </xf>
    <xf borderId="6" fillId="9" fontId="12" numFmtId="49" xfId="0" applyAlignment="1" applyBorder="1" applyFill="1" applyFont="1" applyNumberFormat="1">
      <alignment horizontal="center" vertical="bottom"/>
    </xf>
    <xf borderId="7" fillId="9" fontId="12" numFmtId="0" xfId="0" applyAlignment="1" applyBorder="1" applyFont="1">
      <alignment horizontal="center" vertical="bottom"/>
    </xf>
    <xf borderId="0" fillId="7" fontId="11" numFmtId="0" xfId="0" applyAlignment="1" applyFont="1">
      <alignment horizontal="center" readingOrder="0" shrinkToFit="0" vertical="center" wrapText="0"/>
    </xf>
    <xf borderId="6" fillId="0" fontId="12" numFmtId="49" xfId="0" applyAlignment="1" applyBorder="1" applyFont="1" applyNumberFormat="1">
      <alignment horizontal="center" vertical="bottom"/>
    </xf>
    <xf borderId="7" fillId="7" fontId="12" numFmtId="0" xfId="0" applyAlignment="1" applyBorder="1" applyFont="1">
      <alignment horizontal="center" vertical="bottom"/>
    </xf>
    <xf borderId="0" fillId="8" fontId="11" numFmtId="0" xfId="0" applyAlignment="1" applyFont="1">
      <alignment horizontal="center" shrinkToFit="0" vertical="center" wrapText="0"/>
    </xf>
    <xf borderId="0" fillId="7" fontId="11" numFmtId="0" xfId="0" applyAlignment="1" applyFont="1">
      <alignment horizontal="center" shrinkToFit="0" vertical="center" wrapText="0"/>
    </xf>
    <xf borderId="7" fillId="7" fontId="12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vertical="bottom"/>
    </xf>
    <xf borderId="4" fillId="8" fontId="10" numFmtId="0" xfId="0" applyAlignment="1" applyBorder="1" applyFont="1">
      <alignment horizontal="center" shrinkToFit="0" vertical="center" wrapText="0"/>
    </xf>
    <xf borderId="6" fillId="0" fontId="12" numFmtId="0" xfId="0" applyAlignment="1" applyBorder="1" applyFont="1">
      <alignment horizontal="center" readingOrder="0" vertical="bottom"/>
    </xf>
    <xf borderId="0" fillId="8" fontId="11" numFmtId="0" xfId="0" applyAlignment="1" applyFont="1">
      <alignment horizontal="center" readingOrder="0" shrinkToFit="0" vertical="center" wrapText="0"/>
    </xf>
    <xf borderId="4" fillId="5" fontId="10" numFmtId="0" xfId="0" applyAlignment="1" applyBorder="1" applyFont="1">
      <alignment horizontal="center" readingOrder="0" shrinkToFit="0" vertical="center" wrapText="0"/>
    </xf>
    <xf borderId="4" fillId="5" fontId="10" numFmtId="0" xfId="0" applyAlignment="1" applyBorder="1" applyFont="1">
      <alignment horizontal="left" readingOrder="0" shrinkToFit="0" vertical="center" wrapText="0"/>
    </xf>
    <xf borderId="4" fillId="5" fontId="11" numFmtId="0" xfId="0" applyAlignment="1" applyBorder="1" applyFont="1">
      <alignment horizontal="center" readingOrder="0" shrinkToFit="0" vertical="center" wrapText="0"/>
    </xf>
    <xf borderId="1" fillId="10" fontId="4" numFmtId="0" xfId="0" applyAlignment="1" applyBorder="1" applyFill="1" applyFont="1">
      <alignment horizontal="center" shrinkToFit="0" vertical="center" wrapText="0"/>
    </xf>
    <xf borderId="8" fillId="0" fontId="2" numFmtId="0" xfId="0" applyBorder="1" applyFont="1"/>
    <xf borderId="4" fillId="10" fontId="13" numFmtId="164" xfId="0" applyAlignment="1" applyBorder="1" applyFont="1" applyNumberFormat="1">
      <alignment horizontal="center" shrinkToFit="0" vertical="center" wrapText="0"/>
    </xf>
    <xf borderId="4" fillId="10" fontId="8" numFmtId="9" xfId="0" applyAlignment="1" applyBorder="1" applyFont="1" applyNumberFormat="1">
      <alignment horizontal="center" shrinkToFit="0" vertical="center" wrapText="0"/>
    </xf>
    <xf borderId="1" fillId="3" fontId="14" numFmtId="0" xfId="0" applyAlignment="1" applyBorder="1" applyFont="1">
      <alignment horizontal="center" shrinkToFit="0" vertical="center" wrapText="0"/>
    </xf>
    <xf borderId="4" fillId="3" fontId="15" numFmtId="164" xfId="0" applyAlignment="1" applyBorder="1" applyFont="1" applyNumberFormat="1">
      <alignment horizontal="center" shrinkToFit="0" vertical="center" wrapText="0"/>
    </xf>
    <xf borderId="4" fillId="7" fontId="10" numFmtId="0" xfId="0" applyAlignment="1" applyBorder="1" applyFont="1">
      <alignment horizontal="center" shrinkToFit="0" vertical="center" wrapText="0"/>
    </xf>
    <xf borderId="4" fillId="8" fontId="10" numFmtId="0" xfId="0" applyAlignment="1" applyBorder="1" applyFont="1">
      <alignment horizontal="left" shrinkToFit="0" vertical="center" wrapText="0"/>
    </xf>
    <xf borderId="4" fillId="7" fontId="10" numFmtId="0" xfId="0" applyAlignment="1" applyBorder="1" applyFont="1">
      <alignment horizontal="left" shrinkToFit="0" vertical="center" wrapText="0"/>
    </xf>
    <xf borderId="4" fillId="7" fontId="11" numFmtId="0" xfId="0" applyAlignment="1" applyBorder="1" applyFont="1">
      <alignment horizontal="center" readingOrder="0" shrinkToFit="0" vertical="center" wrapText="0"/>
    </xf>
    <xf borderId="4" fillId="5" fontId="10" numFmtId="0" xfId="0" applyAlignment="1" applyBorder="1" applyFont="1">
      <alignment horizontal="center" shrinkToFit="0" vertical="center" wrapText="0"/>
    </xf>
    <xf borderId="4" fillId="5" fontId="10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/>
  <cols>
    <col customWidth="1" min="1" max="1" width="12.25"/>
    <col customWidth="1" min="2" max="2" width="21.0"/>
    <col customWidth="1" min="3" max="4" width="11.38"/>
    <col customWidth="1" min="5" max="34" width="5.13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</row>
    <row r="3" ht="27.75" customHeight="1">
      <c r="A3" s="5" t="s">
        <v>2</v>
      </c>
      <c r="B3" s="5" t="s">
        <v>3</v>
      </c>
      <c r="C3" s="6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</row>
    <row r="4" ht="19.5" customHeight="1">
      <c r="A4" s="7" t="s">
        <v>36</v>
      </c>
      <c r="B4" s="8"/>
      <c r="C4" s="9"/>
      <c r="D4" s="9">
        <v>100.0</v>
      </c>
      <c r="E4" s="7">
        <v>3.0</v>
      </c>
      <c r="F4" s="7">
        <v>3.0</v>
      </c>
      <c r="G4" s="7">
        <v>3.0</v>
      </c>
      <c r="H4" s="7">
        <v>3.0</v>
      </c>
      <c r="I4" s="7">
        <v>3.0</v>
      </c>
      <c r="J4" s="7">
        <v>3.0</v>
      </c>
      <c r="K4" s="7">
        <v>3.0</v>
      </c>
      <c r="L4" s="7">
        <v>3.0</v>
      </c>
      <c r="M4" s="7">
        <v>3.0</v>
      </c>
      <c r="N4" s="7">
        <v>3.0</v>
      </c>
      <c r="O4" s="7">
        <v>3.0</v>
      </c>
      <c r="P4" s="7">
        <v>3.0</v>
      </c>
      <c r="Q4" s="7">
        <v>4.0</v>
      </c>
      <c r="R4" s="7">
        <v>4.0</v>
      </c>
      <c r="S4" s="7">
        <v>3.0</v>
      </c>
      <c r="T4" s="7">
        <v>3.0</v>
      </c>
      <c r="U4" s="7">
        <v>3.0</v>
      </c>
      <c r="V4" s="7">
        <v>4.0</v>
      </c>
      <c r="W4" s="7">
        <v>3.0</v>
      </c>
      <c r="X4" s="7">
        <v>4.0</v>
      </c>
      <c r="Y4" s="7">
        <v>4.0</v>
      </c>
      <c r="Z4" s="7">
        <v>3.0</v>
      </c>
      <c r="AA4" s="7">
        <v>4.0</v>
      </c>
      <c r="AB4" s="7">
        <v>3.0</v>
      </c>
      <c r="AC4" s="7">
        <v>4.0</v>
      </c>
      <c r="AD4" s="7">
        <v>3.0</v>
      </c>
      <c r="AE4" s="7">
        <v>3.0</v>
      </c>
      <c r="AF4" s="7">
        <v>4.0</v>
      </c>
      <c r="AG4" s="7">
        <v>4.0</v>
      </c>
      <c r="AH4" s="7">
        <v>4.0</v>
      </c>
    </row>
    <row r="5" ht="24.0" customHeight="1">
      <c r="A5" s="10" t="s">
        <v>37</v>
      </c>
      <c r="B5" s="11"/>
      <c r="C5" s="11"/>
      <c r="D5" s="11"/>
      <c r="E5" s="12" t="s">
        <v>38</v>
      </c>
      <c r="F5" s="12" t="s">
        <v>39</v>
      </c>
      <c r="G5" s="12" t="s">
        <v>40</v>
      </c>
      <c r="H5" s="12" t="s">
        <v>41</v>
      </c>
      <c r="I5" s="12" t="s">
        <v>38</v>
      </c>
      <c r="J5" s="12" t="s">
        <v>39</v>
      </c>
      <c r="K5" s="12" t="s">
        <v>40</v>
      </c>
      <c r="L5" s="12" t="s">
        <v>41</v>
      </c>
      <c r="M5" s="12" t="s">
        <v>38</v>
      </c>
      <c r="N5" s="12" t="s">
        <v>39</v>
      </c>
      <c r="O5" s="12" t="s">
        <v>40</v>
      </c>
      <c r="P5" s="12" t="s">
        <v>41</v>
      </c>
      <c r="Q5" s="12" t="s">
        <v>38</v>
      </c>
      <c r="R5" s="12" t="s">
        <v>39</v>
      </c>
      <c r="S5" s="12" t="s">
        <v>40</v>
      </c>
      <c r="T5" s="12" t="s">
        <v>41</v>
      </c>
      <c r="U5" s="12" t="s">
        <v>38</v>
      </c>
      <c r="V5" s="12" t="s">
        <v>39</v>
      </c>
      <c r="W5" s="12" t="s">
        <v>40</v>
      </c>
      <c r="X5" s="12" t="s">
        <v>41</v>
      </c>
      <c r="Y5" s="12" t="s">
        <v>38</v>
      </c>
      <c r="Z5" s="12" t="s">
        <v>39</v>
      </c>
      <c r="AA5" s="12" t="s">
        <v>40</v>
      </c>
      <c r="AB5" s="12" t="s">
        <v>41</v>
      </c>
      <c r="AC5" s="12" t="s">
        <v>38</v>
      </c>
      <c r="AD5" s="12" t="s">
        <v>39</v>
      </c>
      <c r="AE5" s="12" t="s">
        <v>40</v>
      </c>
      <c r="AF5" s="12" t="s">
        <v>41</v>
      </c>
      <c r="AG5" s="12" t="s">
        <v>38</v>
      </c>
      <c r="AH5" s="12" t="s">
        <v>39</v>
      </c>
    </row>
    <row r="6" ht="24.0" customHeight="1">
      <c r="A6" s="13">
        <v>2.02490353E9</v>
      </c>
      <c r="B6" s="14" t="s">
        <v>42</v>
      </c>
      <c r="C6" s="15" t="str">
        <f>IFERROR(__xludf.DUMMYFUNCTION("IFERROR(XLOOKUP(A6, IMPORTRANGE(""1dfbuNQ3U1XqtdPB70d4KK-T2neyc0ZV0mzl9Q33XU-4"", ""web!A:A""), IMPORTRANGE(""1dfbuNQ3U1XqtdPB70d4KK-T2neyc0ZV0mzl9Q33XU-4"", ""web!B:B"")), """")"),"方誉恒")</f>
        <v>方誉恒</v>
      </c>
      <c r="D6" s="15">
        <f>IF(UPPER(E6)=UPPER(E5),E4,0)+IF(UPPER(F6)=UPPER(F5),F4,0)+IF(UPPER(G6)=UPPER(G5),G4,0)+IF(UPPER(H6)=UPPER(H5),H4,0)+IF(UPPER(I6)=UPPER(I5),I4,0)+IF(UPPER(J6)=UPPER(J5),J4,0)+IF(UPPER(K6)=UPPER(K5),K4,0)+IF(UPPER(L6)=UPPER(L5),L4,0)+IF(UPPER(M6)=UPPER(M5),M4,0)+IF(UPPER(N6)=UPPER(N5),N4,0)+IF(UPPER(O6)=UPPER(O5),O4,0)+IF(UPPER(P6)=UPPER(P5),P4,0)+IF(UPPER(Q6)=UPPER(Q5),Q4,0)+IF(UPPER(R6)=UPPER(R5),R4,0)+IF(UPPER(S6)=UPPER(S5),S4,0)+IF(UPPER(T6)=UPPER(T5),T4,0)+IF(UPPER(U6)=UPPER(U5),U4,0)+IF(UPPER(V6)=UPPER(V5),V4,0)+IF(UPPER(W6)=UPPER(W5),W4,0)+IF(UPPER(X6)=UPPER(X5),X4,0)+IF(UPPER(Y6)=UPPER(Y5),Y4,0)+IF(UPPER(Z6)=UPPER(Z5),Z4,0)+IF(UPPER(AA6)=UPPER(AA5),AA4,0)+IF(UPPER(AB6)=UPPER(AB5),AB4,0)+IF(UPPER(AC6)=UPPER(AC5),AC4,0)+IF(UPPER(AD6)=UPPER(AD5),AD4,0)+IF(UPPER(AE6)=UPPER(AE5),AE4,0)+IF(UPPER(AF6)=UPPER(AF5),AF4,0)+IF(UPPER(AG6)=UPPER(AG5),AG4,0)+IF(UPPER(AH6)=UPPER(AH5),AH4,0)</f>
        <v>60</v>
      </c>
      <c r="E6" s="13" t="s">
        <v>43</v>
      </c>
      <c r="F6" s="13" t="s">
        <v>44</v>
      </c>
      <c r="G6" s="13" t="s">
        <v>43</v>
      </c>
      <c r="H6" s="13" t="s">
        <v>45</v>
      </c>
      <c r="I6" s="13" t="s">
        <v>46</v>
      </c>
      <c r="J6" s="13" t="s">
        <v>46</v>
      </c>
      <c r="K6" s="13" t="s">
        <v>43</v>
      </c>
      <c r="L6" s="13" t="s">
        <v>45</v>
      </c>
      <c r="M6" s="13" t="s">
        <v>46</v>
      </c>
      <c r="N6" s="13" t="s">
        <v>46</v>
      </c>
      <c r="O6" s="13" t="s">
        <v>43</v>
      </c>
      <c r="P6" s="13" t="s">
        <v>44</v>
      </c>
      <c r="Q6" s="13" t="s">
        <v>46</v>
      </c>
      <c r="R6" s="13" t="s">
        <v>44</v>
      </c>
      <c r="S6" s="13" t="s">
        <v>43</v>
      </c>
      <c r="T6" s="13" t="s">
        <v>43</v>
      </c>
      <c r="U6" s="13" t="s">
        <v>43</v>
      </c>
      <c r="V6" s="13" t="s">
        <v>44</v>
      </c>
      <c r="W6" s="13" t="s">
        <v>43</v>
      </c>
      <c r="X6" s="13" t="s">
        <v>46</v>
      </c>
      <c r="Y6" s="13" t="s">
        <v>44</v>
      </c>
      <c r="Z6" s="13" t="s">
        <v>46</v>
      </c>
      <c r="AA6" s="13" t="s">
        <v>43</v>
      </c>
      <c r="AB6" s="13" t="s">
        <v>45</v>
      </c>
      <c r="AC6" s="13" t="s">
        <v>45</v>
      </c>
      <c r="AD6" s="13" t="s">
        <v>46</v>
      </c>
      <c r="AE6" s="13" t="s">
        <v>43</v>
      </c>
      <c r="AF6" s="13" t="s">
        <v>45</v>
      </c>
      <c r="AG6" s="13" t="s">
        <v>46</v>
      </c>
      <c r="AH6" s="13" t="s">
        <v>46</v>
      </c>
    </row>
    <row r="7" ht="24.0" customHeight="1">
      <c r="A7" s="13">
        <v>2.024902259E9</v>
      </c>
      <c r="B7" s="16" t="s">
        <v>47</v>
      </c>
      <c r="C7" s="17" t="str">
        <f>IFERROR(__xludf.DUMMYFUNCTION("IFERROR(XLOOKUP(A7, IMPORTRANGE(""1dfbuNQ3U1XqtdPB70d4KK-T2neyc0ZV0mzl9Q33XU-4"", ""web!A:A""), IMPORTRANGE(""1dfbuNQ3U1XqtdPB70d4KK-T2neyc0ZV0mzl9Q33XU-4"", ""web!B:B"")), """")"),"魏磊磊")</f>
        <v>魏磊磊</v>
      </c>
      <c r="D7" s="17">
        <f>IF(UPPER(E7)=UPPER(E5),E4,0)+IF(UPPER(F7)=UPPER(F5),F4,0)+IF(UPPER(G7)=UPPER(G5),G4,0)+IF(UPPER(H7)=UPPER(H5),H4,0)+IF(UPPER(I7)=UPPER(I5),I4,0)+IF(UPPER(J7)=UPPER(J5),J4,0)+IF(UPPER(K7)=UPPER(K5),K4,0)+IF(UPPER(L7)=UPPER(L5),L4,0)+IF(UPPER(M7)=UPPER(M5),M4,0)+IF(UPPER(N7)=UPPER(N5),N4,0)+IF(UPPER(O7)=UPPER(O5),O4,0)+IF(UPPER(P7)=UPPER(P5),P4,0)+IF(UPPER(Q7)=UPPER(Q5),Q4,0)+IF(UPPER(R7)=UPPER(R5),R4,0)+IF(UPPER(S7)=UPPER(S5),S4,0)+IF(UPPER(T7)=UPPER(T5),T4,0)+IF(UPPER(U7)=UPPER(U5),U4,0)+IF(UPPER(V7)=UPPER(V5),V4,0)+IF(UPPER(W7)=UPPER(W5),W4,0)+IF(UPPER(X7)=UPPER(X5),X4,0)+IF(UPPER(Y7)=UPPER(Y5),Y4,0)+IF(UPPER(Z7)=UPPER(Z5),Z4,0)+IF(UPPER(AA7)=UPPER(AA5),AA4,0)+IF(UPPER(AB7)=UPPER(AB5),AB4,0)+IF(UPPER(AC7)=UPPER(AC5),AC4,0)+IF(UPPER(AD7)=UPPER(AD5),AD4,0)+IF(UPPER(AE7)=UPPER(AE5),AE4,0)+IF(UPPER(AF7)=UPPER(AF5),AF4,0)+IF(UPPER(AG7)=UPPER(AG5),AG4,0)+IF(UPPER(AH7)=UPPER(AH5),AH4,0)</f>
        <v>51</v>
      </c>
      <c r="E7" s="18" t="s">
        <v>46</v>
      </c>
      <c r="F7" s="18" t="s">
        <v>44</v>
      </c>
      <c r="G7" s="18" t="s">
        <v>43</v>
      </c>
      <c r="H7" s="18" t="s">
        <v>45</v>
      </c>
      <c r="I7" s="18" t="s">
        <v>43</v>
      </c>
      <c r="J7" s="18" t="s">
        <v>46</v>
      </c>
      <c r="K7" s="18" t="s">
        <v>46</v>
      </c>
      <c r="L7" s="18" t="s">
        <v>45</v>
      </c>
      <c r="M7" s="18" t="s">
        <v>46</v>
      </c>
      <c r="N7" s="18" t="s">
        <v>46</v>
      </c>
      <c r="O7" s="18" t="s">
        <v>45</v>
      </c>
      <c r="P7" s="18" t="s">
        <v>46</v>
      </c>
      <c r="Q7" s="18" t="s">
        <v>46</v>
      </c>
      <c r="R7" s="18" t="s">
        <v>44</v>
      </c>
      <c r="S7" s="18" t="s">
        <v>44</v>
      </c>
      <c r="T7" s="18" t="s">
        <v>43</v>
      </c>
      <c r="U7" s="18" t="s">
        <v>45</v>
      </c>
      <c r="V7" s="18" t="s">
        <v>44</v>
      </c>
      <c r="W7" s="18" t="s">
        <v>43</v>
      </c>
      <c r="X7" s="18" t="s">
        <v>46</v>
      </c>
      <c r="Y7" s="18" t="s">
        <v>46</v>
      </c>
      <c r="Z7" s="18" t="s">
        <v>44</v>
      </c>
      <c r="AA7" s="18" t="s">
        <v>43</v>
      </c>
      <c r="AB7" s="18" t="s">
        <v>45</v>
      </c>
      <c r="AC7" s="18" t="s">
        <v>43</v>
      </c>
      <c r="AD7" s="18" t="s">
        <v>46</v>
      </c>
      <c r="AE7" s="18" t="s">
        <v>46</v>
      </c>
      <c r="AF7" s="18" t="s">
        <v>45</v>
      </c>
      <c r="AG7" s="18" t="s">
        <v>44</v>
      </c>
      <c r="AH7" s="18" t="s">
        <v>46</v>
      </c>
    </row>
    <row r="8" ht="24.0" customHeight="1">
      <c r="A8" s="13">
        <v>2.024903381E9</v>
      </c>
      <c r="B8" s="14" t="s">
        <v>48</v>
      </c>
      <c r="C8" s="15" t="str">
        <f>IFERROR(__xludf.DUMMYFUNCTION("IFERROR(XLOOKUP(A8, IMPORTRANGE(""1dfbuNQ3U1XqtdPB70d4KK-T2neyc0ZV0mzl9Q33XU-4"", ""web!A:A""), IMPORTRANGE(""1dfbuNQ3U1XqtdPB70d4KK-T2neyc0ZV0mzl9Q33XU-4"", ""web!B:B"")), """")"),"张煜琳")</f>
        <v>张煜琳</v>
      </c>
      <c r="D8" s="15">
        <f>IF(UPPER(E8)=UPPER(E5),E4,0)+IF(UPPER(F8)=UPPER(F5),F4,0)+IF(UPPER(G8)=UPPER(G5),G4,0)+IF(UPPER(H8)=UPPER(H5),H4,0)+IF(UPPER(I8)=UPPER(I5),I4,0)+IF(UPPER(J8)=UPPER(J5),J4,0)+IF(UPPER(K8)=UPPER(K5),K4,0)+IF(UPPER(L8)=UPPER(L5),L4,0)+IF(UPPER(M8)=UPPER(M5),M4,0)+IF(UPPER(N8)=UPPER(N5),N4,0)+IF(UPPER(O8)=UPPER(O5),O4,0)+IF(UPPER(P8)=UPPER(P5),P4,0)+IF(UPPER(Q8)=UPPER(Q5),Q4,0)+IF(UPPER(R8)=UPPER(R5),R4,0)+IF(UPPER(S8)=UPPER(S5),S4,0)+IF(UPPER(T8)=UPPER(T5),T4,0)+IF(UPPER(U8)=UPPER(U5),U4,0)+IF(UPPER(V8)=UPPER(V5),V4,0)+IF(UPPER(W8)=UPPER(W5),W4,0)+IF(UPPER(X8)=UPPER(X5),X4,0)+IF(UPPER(Y8)=UPPER(Y5),Y4,0)+IF(UPPER(Z8)=UPPER(Z5),Z4,0)+IF(UPPER(AA8)=UPPER(AA5),AA4,0)+IF(UPPER(AB8)=UPPER(AB5),AB4,0)+IF(UPPER(AC8)=UPPER(AC5),AC4,0)+IF(UPPER(AD8)=UPPER(AD5),AD4,0)+IF(UPPER(AE8)=UPPER(AE5),AE4,0)+IF(UPPER(AF8)=UPPER(AF5),AF4,0)+IF(UPPER(AG8)=UPPER(AG5),AG4,0)+IF(UPPER(AH8)=UPPER(AH5),AH4,0)</f>
        <v>73</v>
      </c>
      <c r="E8" s="13" t="s">
        <v>43</v>
      </c>
      <c r="F8" s="13" t="s">
        <v>44</v>
      </c>
      <c r="G8" s="13" t="s">
        <v>43</v>
      </c>
      <c r="H8" s="13" t="s">
        <v>45</v>
      </c>
      <c r="I8" s="13" t="s">
        <v>46</v>
      </c>
      <c r="J8" s="13" t="s">
        <v>46</v>
      </c>
      <c r="K8" s="13" t="s">
        <v>43</v>
      </c>
      <c r="L8" s="13" t="s">
        <v>45</v>
      </c>
      <c r="M8" s="13" t="s">
        <v>46</v>
      </c>
      <c r="N8" s="13" t="s">
        <v>46</v>
      </c>
      <c r="O8" s="13" t="s">
        <v>43</v>
      </c>
      <c r="P8" s="13" t="s">
        <v>46</v>
      </c>
      <c r="Q8" s="13" t="s">
        <v>46</v>
      </c>
      <c r="R8" s="13" t="s">
        <v>44</v>
      </c>
      <c r="S8" s="13" t="s">
        <v>43</v>
      </c>
      <c r="T8" s="13" t="s">
        <v>45</v>
      </c>
      <c r="U8" s="13" t="s">
        <v>46</v>
      </c>
      <c r="V8" s="13" t="s">
        <v>44</v>
      </c>
      <c r="W8" s="13" t="s">
        <v>43</v>
      </c>
      <c r="X8" s="13" t="s">
        <v>45</v>
      </c>
      <c r="Y8" s="13" t="s">
        <v>44</v>
      </c>
      <c r="Z8" s="13" t="s">
        <v>44</v>
      </c>
      <c r="AA8" s="13" t="s">
        <v>43</v>
      </c>
      <c r="AB8" s="13" t="s">
        <v>45</v>
      </c>
      <c r="AC8" s="13" t="s">
        <v>43</v>
      </c>
      <c r="AD8" s="13" t="s">
        <v>46</v>
      </c>
      <c r="AE8" s="13" t="s">
        <v>43</v>
      </c>
      <c r="AF8" s="13" t="s">
        <v>45</v>
      </c>
      <c r="AG8" s="13" t="s">
        <v>44</v>
      </c>
      <c r="AH8" s="13" t="s">
        <v>44</v>
      </c>
    </row>
    <row r="9" ht="24.0" customHeight="1">
      <c r="A9" s="13">
        <v>2.024903384E9</v>
      </c>
      <c r="B9" s="16" t="s">
        <v>49</v>
      </c>
      <c r="C9" s="17" t="str">
        <f>IFERROR(__xludf.DUMMYFUNCTION("IFERROR(XLOOKUP(A9, IMPORTRANGE(""1dfbuNQ3U1XqtdPB70d4KK-T2neyc0ZV0mzl9Q33XU-4"", ""web!A:A""), IMPORTRANGE(""1dfbuNQ3U1XqtdPB70d4KK-T2neyc0ZV0mzl9Q33XU-4"", ""web!B:B"")), """")"),"窦逸博")</f>
        <v>窦逸博</v>
      </c>
      <c r="D9" s="17">
        <f>IF(UPPER(E9)=UPPER(E5),E4,0)+IF(UPPER(F9)=UPPER(F5),F4,0)+IF(UPPER(G9)=UPPER(G5),G4,0)+IF(UPPER(H9)=UPPER(H5),H4,0)+IF(UPPER(I9)=UPPER(I5),I4,0)+IF(UPPER(J9)=UPPER(J5),J4,0)+IF(UPPER(K9)=UPPER(K5),K4,0)+IF(UPPER(L9)=UPPER(L5),L4,0)+IF(UPPER(M9)=UPPER(M5),M4,0)+IF(UPPER(N9)=UPPER(N5),N4,0)+IF(UPPER(O9)=UPPER(O5),O4,0)+IF(UPPER(P9)=UPPER(P5),P4,0)+IF(UPPER(Q9)=UPPER(Q5),Q4,0)+IF(UPPER(R9)=UPPER(R5),R4,0)+IF(UPPER(S9)=UPPER(S5),S4,0)+IF(UPPER(T9)=UPPER(T5),T4,0)+IF(UPPER(U9)=UPPER(U5),U4,0)+IF(UPPER(V9)=UPPER(V5),V4,0)+IF(UPPER(W9)=UPPER(W5),W4,0)+IF(UPPER(X9)=UPPER(X5),X4,0)+IF(UPPER(Y9)=UPPER(Y5),Y4,0)+IF(UPPER(Z9)=UPPER(Z5),Z4,0)+IF(UPPER(AA9)=UPPER(AA5),AA4,0)+IF(UPPER(AB9)=UPPER(AB5),AB4,0)+IF(UPPER(AC9)=UPPER(AC5),AC4,0)+IF(UPPER(AD9)=UPPER(AD5),AD4,0)+IF(UPPER(AE9)=UPPER(AE5),AE4,0)+IF(UPPER(AF9)=UPPER(AF5),AF4,0)+IF(UPPER(AG9)=UPPER(AG5),AG4,0)+IF(UPPER(AH9)=UPPER(AH5),AH4,0)</f>
        <v>75</v>
      </c>
      <c r="E9" s="18" t="s">
        <v>43</v>
      </c>
      <c r="F9" s="18" t="s">
        <v>44</v>
      </c>
      <c r="G9" s="18" t="s">
        <v>43</v>
      </c>
      <c r="H9" s="18" t="s">
        <v>45</v>
      </c>
      <c r="I9" s="18" t="s">
        <v>46</v>
      </c>
      <c r="J9" s="18" t="s">
        <v>44</v>
      </c>
      <c r="K9" s="18" t="s">
        <v>43</v>
      </c>
      <c r="L9" s="18" t="s">
        <v>45</v>
      </c>
      <c r="M9" s="18" t="s">
        <v>46</v>
      </c>
      <c r="N9" s="18" t="s">
        <v>46</v>
      </c>
      <c r="O9" s="18" t="s">
        <v>43</v>
      </c>
      <c r="P9" s="18" t="s">
        <v>44</v>
      </c>
      <c r="Q9" s="18" t="s">
        <v>44</v>
      </c>
      <c r="R9" s="18" t="s">
        <v>44</v>
      </c>
      <c r="S9" s="18" t="s">
        <v>43</v>
      </c>
      <c r="T9" s="18" t="s">
        <v>45</v>
      </c>
      <c r="U9" s="18" t="s">
        <v>46</v>
      </c>
      <c r="V9" s="18" t="s">
        <v>44</v>
      </c>
      <c r="W9" s="18" t="s">
        <v>43</v>
      </c>
      <c r="X9" s="18" t="s">
        <v>45</v>
      </c>
      <c r="Y9" s="18" t="s">
        <v>44</v>
      </c>
      <c r="Z9" s="18" t="s">
        <v>44</v>
      </c>
      <c r="AA9" s="18" t="s">
        <v>43</v>
      </c>
      <c r="AB9" s="18" t="s">
        <v>45</v>
      </c>
      <c r="AC9" s="18" t="s">
        <v>43</v>
      </c>
      <c r="AD9" s="18" t="s">
        <v>44</v>
      </c>
      <c r="AE9" s="18" t="s">
        <v>43</v>
      </c>
      <c r="AF9" s="18" t="s">
        <v>45</v>
      </c>
      <c r="AG9" s="18" t="s">
        <v>44</v>
      </c>
      <c r="AH9" s="18" t="s">
        <v>44</v>
      </c>
    </row>
    <row r="10" ht="24.0" customHeight="1">
      <c r="A10" s="19">
        <v>2.024902588E9</v>
      </c>
      <c r="B10" s="20" t="s">
        <v>50</v>
      </c>
      <c r="C10" s="21" t="str">
        <f>IFERROR(__xludf.DUMMYFUNCTION("IFERROR(XLOOKUP(A10, IMPORTRANGE(""1dfbuNQ3U1XqtdPB70d4KK-T2neyc0ZV0mzl9Q33XU-4"", ""web!A:A""), IMPORTRANGE(""1dfbuNQ3U1XqtdPB70d4KK-T2neyc0ZV0mzl9Q33XU-4"", ""web!B:B"")), """")"),"陈卫政")</f>
        <v>陈卫政</v>
      </c>
      <c r="D10" s="15">
        <f>IF(UPPER(E10)=UPPER(E5),E4,0)+IF(UPPER(F10)=UPPER(F5),F4,0)+IF(UPPER(G10)=UPPER(G5),G4,0)+IF(UPPER(H10)=UPPER(H5),H4,0)+IF(UPPER(I10)=UPPER(I5),I4,0)+IF(UPPER(J10)=UPPER(J5),J4,0)+IF(UPPER(K10)=UPPER(K5),K4,0)+IF(UPPER(L10)=UPPER(L5),L4,0)+IF(UPPER(M10)=UPPER(M5),M4,0)+IF(UPPER(N10)=UPPER(N5),N4,0)+IF(UPPER(O10)=UPPER(O5),O4,0)+IF(UPPER(P10)=UPPER(P5),P4,0)+IF(UPPER(Q10)=UPPER(Q5),Q4,0)+IF(UPPER(R10)=UPPER(R5),R4,0)+IF(UPPER(S10)=UPPER(S5),S4,0)+IF(UPPER(T10)=UPPER(T5),T4,0)+IF(UPPER(U10)=UPPER(U5),U4,0)+IF(UPPER(V10)=UPPER(V5),V4,0)+IF(UPPER(W10)=UPPER(W5),W4,0)+IF(UPPER(X10)=UPPER(X5),X4,0)+IF(UPPER(Y10)=UPPER(Y5),Y4,0)+IF(UPPER(Z10)=UPPER(Z5),Z4,0)+IF(UPPER(AA10)=UPPER(AA5),AA4,0)+IF(UPPER(AB10)=UPPER(AB5),AB4,0)+IF(UPPER(AC10)=UPPER(AC5),AC4,0)+IF(UPPER(AD10)=UPPER(AD5),AD4,0)+IF(UPPER(AE10)=UPPER(AE5),AE4,0)+IF(UPPER(AF10)=UPPER(AF5),AF4,0)+IF(UPPER(AG10)=UPPER(AG5),AG4,0)+IF(UPPER(AH10)=UPPER(AH5),AH4,0)</f>
        <v>45</v>
      </c>
      <c r="E10" s="13" t="s">
        <v>46</v>
      </c>
      <c r="F10" s="13" t="s">
        <v>44</v>
      </c>
      <c r="G10" s="13" t="s">
        <v>43</v>
      </c>
      <c r="H10" s="13" t="s">
        <v>46</v>
      </c>
      <c r="I10" s="13" t="s">
        <v>46</v>
      </c>
      <c r="J10" s="13" t="s">
        <v>46</v>
      </c>
      <c r="K10" s="13" t="s">
        <v>43</v>
      </c>
      <c r="L10" s="13" t="s">
        <v>44</v>
      </c>
      <c r="M10" s="13" t="s">
        <v>46</v>
      </c>
      <c r="N10" s="13" t="s">
        <v>44</v>
      </c>
      <c r="O10" s="13" t="s">
        <v>46</v>
      </c>
      <c r="P10" s="13" t="s">
        <v>46</v>
      </c>
      <c r="Q10" s="13" t="s">
        <v>44</v>
      </c>
      <c r="R10" s="13" t="s">
        <v>46</v>
      </c>
      <c r="S10" s="13" t="s">
        <v>46</v>
      </c>
      <c r="T10" s="13" t="s">
        <v>43</v>
      </c>
      <c r="U10" s="13" t="s">
        <v>43</v>
      </c>
      <c r="V10" s="13" t="s">
        <v>44</v>
      </c>
      <c r="W10" s="13" t="s">
        <v>43</v>
      </c>
      <c r="X10" s="13" t="s">
        <v>46</v>
      </c>
      <c r="Y10" s="13" t="s">
        <v>44</v>
      </c>
      <c r="Z10" s="13" t="s">
        <v>44</v>
      </c>
      <c r="AA10" s="13" t="s">
        <v>45</v>
      </c>
      <c r="AB10" s="13" t="s">
        <v>45</v>
      </c>
      <c r="AC10" s="13" t="s">
        <v>46</v>
      </c>
      <c r="AD10" s="13" t="s">
        <v>46</v>
      </c>
      <c r="AE10" s="13" t="s">
        <v>43</v>
      </c>
      <c r="AF10" s="13" t="s">
        <v>45</v>
      </c>
      <c r="AG10" s="13" t="s">
        <v>44</v>
      </c>
      <c r="AH10" s="13" t="s">
        <v>46</v>
      </c>
    </row>
    <row r="11" ht="24.0" customHeight="1">
      <c r="A11" s="22">
        <v>2.024904719E9</v>
      </c>
      <c r="B11" s="23" t="s">
        <v>51</v>
      </c>
      <c r="C11" s="24" t="str">
        <f>IFERROR(__xludf.DUMMYFUNCTION("IFERROR(XLOOKUP(A11, IMPORTRANGE(""1dfbuNQ3U1XqtdPB70d4KK-T2neyc0ZV0mzl9Q33XU-4"", ""web!A:A""), IMPORTRANGE(""1dfbuNQ3U1XqtdPB70d4KK-T2neyc0ZV0mzl9Q33XU-4"", ""web!B:B"")), """")"),"李思远")</f>
        <v>李思远</v>
      </c>
      <c r="D11" s="17">
        <f>IF(UPPER(E11)=UPPER(E5),E4,0)+IF(UPPER(F11)=UPPER(F5),F4,0)+IF(UPPER(G11)=UPPER(G5),G4,0)+IF(UPPER(H11)=UPPER(H5),H4,0)+IF(UPPER(I11)=UPPER(I5),I4,0)+IF(UPPER(J11)=UPPER(J5),J4,0)+IF(UPPER(K11)=UPPER(K5),K4,0)+IF(UPPER(L11)=UPPER(L5),L4,0)+IF(UPPER(M11)=UPPER(M5),M4,0)+IF(UPPER(N11)=UPPER(N5),N4,0)+IF(UPPER(O11)=UPPER(O5),O4,0)+IF(UPPER(P11)=UPPER(P5),P4,0)+IF(UPPER(Q11)=UPPER(Q5),Q4,0)+IF(UPPER(R11)=UPPER(R5),R4,0)+IF(UPPER(S11)=UPPER(S5),S4,0)+IF(UPPER(T11)=UPPER(T5),T4,0)+IF(UPPER(U11)=UPPER(U5),U4,0)+IF(UPPER(V11)=UPPER(V5),V4,0)+IF(UPPER(W11)=UPPER(W5),W4,0)+IF(UPPER(X11)=UPPER(X5),X4,0)+IF(UPPER(Y11)=UPPER(Y5),Y4,0)+IF(UPPER(Z11)=UPPER(Z5),Z4,0)+IF(UPPER(AA11)=UPPER(AA5),AA4,0)+IF(UPPER(AB11)=UPPER(AB5),AB4,0)+IF(UPPER(AC11)=UPPER(AC5),AC4,0)+IF(UPPER(AD11)=UPPER(AD5),AD4,0)+IF(UPPER(AE11)=UPPER(AE5),AE4,0)+IF(UPPER(AF11)=UPPER(AF5),AF4,0)+IF(UPPER(AG11)=UPPER(AG5),AG4,0)+IF(UPPER(AH11)=UPPER(AH5),AH4,0)</f>
        <v>28</v>
      </c>
      <c r="E11" s="18" t="s">
        <v>44</v>
      </c>
      <c r="F11" s="18" t="s">
        <v>44</v>
      </c>
      <c r="G11" s="18" t="s">
        <v>43</v>
      </c>
      <c r="H11" s="18" t="s">
        <v>43</v>
      </c>
      <c r="I11" s="18" t="s">
        <v>46</v>
      </c>
      <c r="J11" s="18" t="s">
        <v>46</v>
      </c>
      <c r="K11" s="18" t="s">
        <v>46</v>
      </c>
      <c r="L11" s="18" t="s">
        <v>46</v>
      </c>
      <c r="M11" s="18" t="s">
        <v>46</v>
      </c>
      <c r="N11" s="18" t="s">
        <v>44</v>
      </c>
      <c r="O11" s="18" t="s">
        <v>43</v>
      </c>
      <c r="P11" s="18" t="s">
        <v>46</v>
      </c>
      <c r="Q11" s="18" t="s">
        <v>44</v>
      </c>
      <c r="R11" s="18" t="s">
        <v>46</v>
      </c>
      <c r="S11" s="18" t="s">
        <v>43</v>
      </c>
      <c r="T11" s="18" t="s">
        <v>43</v>
      </c>
      <c r="U11" s="18" t="s">
        <v>43</v>
      </c>
      <c r="V11" s="18" t="s">
        <v>43</v>
      </c>
      <c r="W11" s="18" t="s">
        <v>45</v>
      </c>
      <c r="X11" s="18" t="s">
        <v>46</v>
      </c>
      <c r="Y11" s="18" t="s">
        <v>44</v>
      </c>
      <c r="Z11" s="18" t="s">
        <v>44</v>
      </c>
      <c r="AA11" s="18" t="s">
        <v>45</v>
      </c>
      <c r="AB11" s="18" t="s">
        <v>43</v>
      </c>
      <c r="AC11" s="18" t="s">
        <v>44</v>
      </c>
      <c r="AD11" s="18" t="s">
        <v>46</v>
      </c>
      <c r="AE11" s="18" t="s">
        <v>45</v>
      </c>
      <c r="AF11" s="18" t="s">
        <v>45</v>
      </c>
      <c r="AG11" s="18" t="s">
        <v>44</v>
      </c>
      <c r="AH11" s="18" t="s">
        <v>46</v>
      </c>
    </row>
    <row r="12" ht="24.0" customHeight="1">
      <c r="A12" s="22">
        <v>2.024903036E9</v>
      </c>
      <c r="B12" s="23" t="s">
        <v>52</v>
      </c>
      <c r="C12" s="21" t="s">
        <v>53</v>
      </c>
      <c r="D12" s="15">
        <f>IF(UPPER(E12)=UPPER(E5),E4,0)+IF(UPPER(F12)=UPPER(F5),F4,0)+IF(UPPER(G12)=UPPER(G5),G4,0)+IF(UPPER(H12)=UPPER(H5),H4,0)+IF(UPPER(I12)=UPPER(I5),I4,0)+IF(UPPER(J12)=UPPER(J5),J4,0)+IF(UPPER(K12)=UPPER(K5),K4,0)+IF(UPPER(L12)=UPPER(L5),L4,0)+IF(UPPER(M12)=UPPER(M5),M4,0)+IF(UPPER(N12)=UPPER(N5),N4,0)+IF(UPPER(O12)=UPPER(O5),O4,0)+IF(UPPER(P12)=UPPER(P5),P4,0)+IF(UPPER(Q12)=UPPER(Q5),Q4,0)+IF(UPPER(R12)=UPPER(R5),R4,0)+IF(UPPER(S12)=UPPER(S5),S4,0)+IF(UPPER(T12)=UPPER(T5),T4,0)+IF(UPPER(U12)=UPPER(U5),U4,0)+IF(UPPER(V12)=UPPER(V5),V4,0)+IF(UPPER(W12)=UPPER(W5),W4,0)+IF(UPPER(X12)=UPPER(X5),X4,0)+IF(UPPER(Y12)=UPPER(Y5),Y4,0)+IF(UPPER(Z12)=UPPER(Z5),Z4,0)+IF(UPPER(AA12)=UPPER(AA5),AA4,0)+IF(UPPER(AB12)=UPPER(AB5),AB4,0)+IF(UPPER(AC12)=UPPER(AC5),AC4,0)+IF(UPPER(AD12)=UPPER(AD5),AD4,0)+IF(UPPER(AE12)=UPPER(AE5),AE4,0)+IF(UPPER(AF12)=UPPER(AF5),AF4,0)+IF(UPPER(AG12)=UPPER(AG5),AG4,0)+IF(UPPER(AH12)=UPPER(AH5),AH4,0)</f>
        <v>54</v>
      </c>
      <c r="E12" s="13" t="s">
        <v>43</v>
      </c>
      <c r="F12" s="13" t="s">
        <v>44</v>
      </c>
      <c r="G12" s="13" t="s">
        <v>45</v>
      </c>
      <c r="H12" s="13" t="s">
        <v>45</v>
      </c>
      <c r="I12" s="13" t="s">
        <v>46</v>
      </c>
      <c r="J12" s="13" t="s">
        <v>46</v>
      </c>
      <c r="K12" s="13" t="s">
        <v>43</v>
      </c>
      <c r="L12" s="13" t="s">
        <v>45</v>
      </c>
      <c r="M12" s="13" t="s">
        <v>43</v>
      </c>
      <c r="N12" s="13" t="s">
        <v>46</v>
      </c>
      <c r="O12" s="13" t="s">
        <v>43</v>
      </c>
      <c r="P12" s="13" t="s">
        <v>44</v>
      </c>
      <c r="Q12" s="13" t="s">
        <v>46</v>
      </c>
      <c r="R12" s="13" t="s">
        <v>44</v>
      </c>
      <c r="S12" s="13" t="s">
        <v>43</v>
      </c>
      <c r="T12" s="13" t="s">
        <v>43</v>
      </c>
      <c r="U12" s="13" t="s">
        <v>46</v>
      </c>
      <c r="V12" s="13" t="s">
        <v>43</v>
      </c>
      <c r="W12" s="13" t="s">
        <v>46</v>
      </c>
      <c r="X12" s="13" t="s">
        <v>45</v>
      </c>
      <c r="Y12" s="13" t="s">
        <v>43</v>
      </c>
      <c r="Z12" s="13" t="s">
        <v>44</v>
      </c>
      <c r="AA12" s="13" t="s">
        <v>43</v>
      </c>
      <c r="AB12" s="13" t="s">
        <v>45</v>
      </c>
      <c r="AC12" s="13" t="s">
        <v>44</v>
      </c>
      <c r="AD12" s="13" t="s">
        <v>46</v>
      </c>
      <c r="AE12" s="13" t="s">
        <v>46</v>
      </c>
      <c r="AF12" s="13" t="s">
        <v>45</v>
      </c>
      <c r="AG12" s="13" t="s">
        <v>44</v>
      </c>
      <c r="AH12" s="13" t="s">
        <v>44</v>
      </c>
    </row>
    <row r="13" ht="24.0" customHeight="1">
      <c r="A13" s="22">
        <v>2.024900809E9</v>
      </c>
      <c r="B13" s="23" t="s">
        <v>54</v>
      </c>
      <c r="C13" s="24" t="str">
        <f>IFERROR(__xludf.DUMMYFUNCTION("IFERROR(XLOOKUP(A13, IMPORTRANGE(""1dfbuNQ3U1XqtdPB70d4KK-T2neyc0ZV0mzl9Q33XU-4"", ""web!A:A""), IMPORTRANGE(""1dfbuNQ3U1XqtdPB70d4KK-T2neyc0ZV0mzl9Q33XU-4"", ""web!B:B"")), """")"),"马澍晗")</f>
        <v>马澍晗</v>
      </c>
      <c r="D13" s="17">
        <f>IF(UPPER(E13)=UPPER(E5),E4,0)+IF(UPPER(F13)=UPPER(F5),F4,0)+IF(UPPER(G13)=UPPER(G5),G4,0)+IF(UPPER(H13)=UPPER(H5),H4,0)+IF(UPPER(I13)=UPPER(I5),I4,0)+IF(UPPER(J13)=UPPER(J5),J4,0)+IF(UPPER(K13)=UPPER(K5),K4,0)+IF(UPPER(L13)=UPPER(L5),L4,0)+IF(UPPER(M13)=UPPER(M5),M4,0)+IF(UPPER(N13)=UPPER(N5),N4,0)+IF(UPPER(O13)=UPPER(O5),O4,0)+IF(UPPER(P13)=UPPER(P5),P4,0)+IF(UPPER(Q13)=UPPER(Q5),Q4,0)+IF(UPPER(R13)=UPPER(R5),R4,0)+IF(UPPER(S13)=UPPER(S5),S4,0)+IF(UPPER(T13)=UPPER(T5),T4,0)+IF(UPPER(U13)=UPPER(U5),U4,0)+IF(UPPER(V13)=UPPER(V5),V4,0)+IF(UPPER(W13)=UPPER(W5),W4,0)+IF(UPPER(X13)=UPPER(X5),X4,0)+IF(UPPER(Y13)=UPPER(Y5),Y4,0)+IF(UPPER(Z13)=UPPER(Z5),Z4,0)+IF(UPPER(AA13)=UPPER(AA5),AA4,0)+IF(UPPER(AB13)=UPPER(AB5),AB4,0)+IF(UPPER(AC13)=UPPER(AC5),AC4,0)+IF(UPPER(AD13)=UPPER(AD5),AD4,0)+IF(UPPER(AE13)=UPPER(AE5),AE4,0)+IF(UPPER(AF13)=UPPER(AF5),AF4,0)+IF(UPPER(AG13)=UPPER(AG5),AG4,0)+IF(UPPER(AH13)=UPPER(AH5),AH4,0)</f>
        <v>55</v>
      </c>
      <c r="E13" s="18" t="s">
        <v>43</v>
      </c>
      <c r="F13" s="18" t="s">
        <v>44</v>
      </c>
      <c r="G13" s="18" t="s">
        <v>43</v>
      </c>
      <c r="H13" s="18" t="s">
        <v>45</v>
      </c>
      <c r="I13" s="18" t="s">
        <v>46</v>
      </c>
      <c r="J13" s="18" t="s">
        <v>46</v>
      </c>
      <c r="K13" s="18" t="s">
        <v>43</v>
      </c>
      <c r="L13" s="18" t="s">
        <v>46</v>
      </c>
      <c r="M13" s="18" t="s">
        <v>46</v>
      </c>
      <c r="N13" s="18" t="s">
        <v>44</v>
      </c>
      <c r="O13" s="18" t="s">
        <v>43</v>
      </c>
      <c r="P13" s="18" t="s">
        <v>44</v>
      </c>
      <c r="Q13" s="18" t="s">
        <v>46</v>
      </c>
      <c r="R13" s="18" t="s">
        <v>46</v>
      </c>
      <c r="S13" s="18" t="s">
        <v>43</v>
      </c>
      <c r="T13" s="18" t="s">
        <v>43</v>
      </c>
      <c r="U13" s="18" t="s">
        <v>46</v>
      </c>
      <c r="V13" s="18" t="s">
        <v>44</v>
      </c>
      <c r="W13" s="18" t="s">
        <v>44</v>
      </c>
      <c r="X13" s="18" t="s">
        <v>46</v>
      </c>
      <c r="Y13" s="18" t="s">
        <v>43</v>
      </c>
      <c r="Z13" s="18" t="s">
        <v>44</v>
      </c>
      <c r="AA13" s="18" t="s">
        <v>43</v>
      </c>
      <c r="AB13" s="18" t="s">
        <v>45</v>
      </c>
      <c r="AC13" s="18" t="s">
        <v>45</v>
      </c>
      <c r="AD13" s="18" t="s">
        <v>46</v>
      </c>
      <c r="AE13" s="18" t="s">
        <v>43</v>
      </c>
      <c r="AF13" s="18" t="s">
        <v>45</v>
      </c>
      <c r="AG13" s="18" t="s">
        <v>44</v>
      </c>
      <c r="AH13" s="18" t="s">
        <v>46</v>
      </c>
    </row>
    <row r="14" ht="24.0" customHeight="1">
      <c r="A14" s="22">
        <v>2.024902586E9</v>
      </c>
      <c r="B14" s="23" t="s">
        <v>55</v>
      </c>
      <c r="C14" s="25" t="str">
        <f>IFERROR(__xludf.DUMMYFUNCTION("IFERROR(XLOOKUP(A14, IMPORTRANGE(""1dfbuNQ3U1XqtdPB70d4KK-T2neyc0ZV0mzl9Q33XU-4"", ""web!A:A""), IMPORTRANGE(""1dfbuNQ3U1XqtdPB70d4KK-T2neyc0ZV0mzl9Q33XU-4"", ""web!B:B"")), """")"),"张馨艺")</f>
        <v>张馨艺</v>
      </c>
      <c r="D14" s="15">
        <f>IF(UPPER(E14)=UPPER(E5),E4,0)+IF(UPPER(F14)=UPPER(F5),F4,0)+IF(UPPER(G14)=UPPER(G5),G4,0)+IF(UPPER(H14)=UPPER(H5),H4,0)+IF(UPPER(I14)=UPPER(I5),I4,0)+IF(UPPER(J14)=UPPER(J5),J4,0)+IF(UPPER(K14)=UPPER(K5),K4,0)+IF(UPPER(L14)=UPPER(L5),L4,0)+IF(UPPER(M14)=UPPER(M5),M4,0)+IF(UPPER(N14)=UPPER(N5),N4,0)+IF(UPPER(O14)=UPPER(O5),O4,0)+IF(UPPER(P14)=UPPER(P5),P4,0)+IF(UPPER(Q14)=UPPER(Q5),Q4,0)+IF(UPPER(R14)=UPPER(R5),R4,0)+IF(UPPER(S14)=UPPER(S5),S4,0)+IF(UPPER(T14)=UPPER(T5),T4,0)+IF(UPPER(U14)=UPPER(U5),U4,0)+IF(UPPER(V14)=UPPER(V5),V4,0)+IF(UPPER(W14)=UPPER(W5),W4,0)+IF(UPPER(X14)=UPPER(X5),X4,0)+IF(UPPER(Y14)=UPPER(Y5),Y4,0)+IF(UPPER(Z14)=UPPER(Z5),Z4,0)+IF(UPPER(AA14)=UPPER(AA5),AA4,0)+IF(UPPER(AB14)=UPPER(AB5),AB4,0)+IF(UPPER(AC14)=UPPER(AC5),AC4,0)+IF(UPPER(AD14)=UPPER(AD5),AD4,0)+IF(UPPER(AE14)=UPPER(AE5),AE4,0)+IF(UPPER(AF14)=UPPER(AF5),AF4,0)+IF(UPPER(AG14)=UPPER(AG5),AG4,0)+IF(UPPER(AH14)=UPPER(AH5),AH4,0)</f>
        <v>55</v>
      </c>
      <c r="E14" s="13" t="s">
        <v>43</v>
      </c>
      <c r="F14" s="13" t="s">
        <v>44</v>
      </c>
      <c r="G14" s="13" t="s">
        <v>43</v>
      </c>
      <c r="H14" s="13" t="s">
        <v>45</v>
      </c>
      <c r="I14" s="13" t="s">
        <v>46</v>
      </c>
      <c r="J14" s="13" t="s">
        <v>46</v>
      </c>
      <c r="K14" s="13" t="s">
        <v>43</v>
      </c>
      <c r="L14" s="13" t="s">
        <v>46</v>
      </c>
      <c r="M14" s="13" t="s">
        <v>46</v>
      </c>
      <c r="N14" s="13" t="s">
        <v>44</v>
      </c>
      <c r="O14" s="13" t="s">
        <v>43</v>
      </c>
      <c r="P14" s="13" t="s">
        <v>43</v>
      </c>
      <c r="Q14" s="13" t="s">
        <v>46</v>
      </c>
      <c r="R14" s="13" t="s">
        <v>46</v>
      </c>
      <c r="S14" s="13" t="s">
        <v>43</v>
      </c>
      <c r="T14" s="13" t="s">
        <v>43</v>
      </c>
      <c r="U14" s="13" t="s">
        <v>46</v>
      </c>
      <c r="V14" s="13" t="s">
        <v>44</v>
      </c>
      <c r="W14" s="13" t="s">
        <v>44</v>
      </c>
      <c r="X14" s="13" t="s">
        <v>44</v>
      </c>
      <c r="Y14" s="13" t="s">
        <v>44</v>
      </c>
      <c r="Z14" s="13" t="s">
        <v>44</v>
      </c>
      <c r="AA14" s="13" t="s">
        <v>43</v>
      </c>
      <c r="AB14" s="13" t="s">
        <v>45</v>
      </c>
      <c r="AC14" s="13" t="s">
        <v>45</v>
      </c>
      <c r="AD14" s="13" t="s">
        <v>46</v>
      </c>
      <c r="AE14" s="13" t="s">
        <v>43</v>
      </c>
      <c r="AF14" s="13" t="s">
        <v>45</v>
      </c>
      <c r="AG14" s="13" t="s">
        <v>44</v>
      </c>
      <c r="AH14" s="13" t="s">
        <v>46</v>
      </c>
    </row>
    <row r="15" ht="24.0" customHeight="1">
      <c r="A15" s="22">
        <v>2.024904721E9</v>
      </c>
      <c r="B15" s="23" t="s">
        <v>56</v>
      </c>
      <c r="C15" s="24" t="str">
        <f>IFERROR(__xludf.DUMMYFUNCTION("IFERROR(XLOOKUP(A15, IMPORTRANGE(""1dfbuNQ3U1XqtdPB70d4KK-T2neyc0ZV0mzl9Q33XU-4"", ""web!A:A""), IMPORTRANGE(""1dfbuNQ3U1XqtdPB70d4KK-T2neyc0ZV0mzl9Q33XU-4"", ""web!B:B"")), """")"),"王泽翰")</f>
        <v>王泽翰</v>
      </c>
      <c r="D15" s="17">
        <f>IF(UPPER(E15)=UPPER(E5),E4,0)+IF(UPPER(F15)=UPPER(F5),F4,0)+IF(UPPER(G15)=UPPER(G5),G4,0)+IF(UPPER(H15)=UPPER(H5),H4,0)+IF(UPPER(I15)=UPPER(I5),I4,0)+IF(UPPER(J15)=UPPER(J5),J4,0)+IF(UPPER(K15)=UPPER(K5),K4,0)+IF(UPPER(L15)=UPPER(L5),L4,0)+IF(UPPER(M15)=UPPER(M5),M4,0)+IF(UPPER(N15)=UPPER(N5),N4,0)+IF(UPPER(O15)=UPPER(O5),O4,0)+IF(UPPER(P15)=UPPER(P5),P4,0)+IF(UPPER(Q15)=UPPER(Q5),Q4,0)+IF(UPPER(R15)=UPPER(R5),R4,0)+IF(UPPER(S15)=UPPER(S5),S4,0)+IF(UPPER(T15)=UPPER(T5),T4,0)+IF(UPPER(U15)=UPPER(U5),U4,0)+IF(UPPER(V15)=UPPER(V5),V4,0)+IF(UPPER(W15)=UPPER(W5),W4,0)+IF(UPPER(X15)=UPPER(X5),X4,0)+IF(UPPER(Y15)=UPPER(Y5),Y4,0)+IF(UPPER(Z15)=UPPER(Z5),Z4,0)+IF(UPPER(AA15)=UPPER(AA5),AA4,0)+IF(UPPER(AB15)=UPPER(AB5),AB4,0)+IF(UPPER(AC15)=UPPER(AC5),AC4,0)+IF(UPPER(AD15)=UPPER(AD5),AD4,0)+IF(UPPER(AE15)=UPPER(AE5),AE4,0)+IF(UPPER(AF15)=UPPER(AF5),AF4,0)+IF(UPPER(AG15)=UPPER(AG5),AG4,0)+IF(UPPER(AH15)=UPPER(AH5),AH4,0)</f>
        <v>70</v>
      </c>
      <c r="E15" s="18" t="s">
        <v>46</v>
      </c>
      <c r="F15" s="18" t="s">
        <v>44</v>
      </c>
      <c r="G15" s="18" t="s">
        <v>43</v>
      </c>
      <c r="H15" s="18" t="s">
        <v>45</v>
      </c>
      <c r="I15" s="18" t="s">
        <v>46</v>
      </c>
      <c r="J15" s="18" t="s">
        <v>44</v>
      </c>
      <c r="K15" s="18" t="s">
        <v>43</v>
      </c>
      <c r="L15" s="18" t="s">
        <v>45</v>
      </c>
      <c r="M15" s="18" t="s">
        <v>46</v>
      </c>
      <c r="N15" s="18" t="s">
        <v>44</v>
      </c>
      <c r="O15" s="18" t="s">
        <v>43</v>
      </c>
      <c r="P15" s="18" t="s">
        <v>46</v>
      </c>
      <c r="Q15" s="18" t="s">
        <v>46</v>
      </c>
      <c r="R15" s="18" t="s">
        <v>44</v>
      </c>
      <c r="S15" s="18" t="s">
        <v>43</v>
      </c>
      <c r="T15" s="18" t="s">
        <v>45</v>
      </c>
      <c r="U15" s="18" t="s">
        <v>46</v>
      </c>
      <c r="V15" s="18" t="s">
        <v>43</v>
      </c>
      <c r="W15" s="18" t="s">
        <v>43</v>
      </c>
      <c r="X15" s="18" t="s">
        <v>46</v>
      </c>
      <c r="Y15" s="18" t="s">
        <v>46</v>
      </c>
      <c r="Z15" s="18" t="s">
        <v>44</v>
      </c>
      <c r="AA15" s="18" t="s">
        <v>45</v>
      </c>
      <c r="AB15" s="18" t="s">
        <v>45</v>
      </c>
      <c r="AC15" s="18" t="s">
        <v>45</v>
      </c>
      <c r="AD15" s="18" t="s">
        <v>46</v>
      </c>
      <c r="AE15" s="18" t="s">
        <v>43</v>
      </c>
      <c r="AF15" s="18" t="s">
        <v>46</v>
      </c>
      <c r="AG15" s="18" t="s">
        <v>44</v>
      </c>
      <c r="AH15" s="18" t="s">
        <v>44</v>
      </c>
    </row>
    <row r="16" ht="24.0" customHeight="1">
      <c r="A16" s="22">
        <v>2.024903715E9</v>
      </c>
      <c r="B16" s="23" t="s">
        <v>57</v>
      </c>
      <c r="C16" s="24" t="str">
        <f>IFERROR(__xludf.DUMMYFUNCTION("IFERROR(XLOOKUP(A16, IMPORTRANGE(""1dfbuNQ3U1XqtdPB70d4KK-T2neyc0ZV0mzl9Q33XU-4"", ""web!A:A""), IMPORTRANGE(""1dfbuNQ3U1XqtdPB70d4KK-T2neyc0ZV0mzl9Q33XU-4"", ""web!B:B"")), """")"),"刘念")</f>
        <v>刘念</v>
      </c>
      <c r="D16" s="17">
        <f>IF(UPPER(E16)=UPPER(E5),E4,0)+IF(UPPER(F16)=UPPER(F5),F4,0)+IF(UPPER(G16)=UPPER(G5),G4,0)+IF(UPPER(H16)=UPPER(H5),H4,0)+IF(UPPER(I16)=UPPER(I5),I4,0)+IF(UPPER(J16)=UPPER(J5),J4,0)+IF(UPPER(K16)=UPPER(K5),K4,0)+IF(UPPER(L16)=UPPER(L5),L4,0)+IF(UPPER(M16)=UPPER(M5),M4,0)+IF(UPPER(N16)=UPPER(N5),N4,0)+IF(UPPER(O16)=UPPER(O5),O4,0)+IF(UPPER(P16)=UPPER(P5),P4,0)+IF(UPPER(Q16)=UPPER(Q5),Q4,0)+IF(UPPER(R16)=UPPER(R5),R4,0)+IF(UPPER(S16)=UPPER(S5),S4,0)+IF(UPPER(T16)=UPPER(T5),T4,0)+IF(UPPER(U16)=UPPER(U5),U4,0)+IF(UPPER(V16)=UPPER(V5),V4,0)+IF(UPPER(W16)=UPPER(W5),W4,0)+IF(UPPER(X16)=UPPER(X5),X4,0)+IF(UPPER(Y16)=UPPER(Y5),Y4,0)+IF(UPPER(Z16)=UPPER(Z5),Z4,0)+IF(UPPER(AA16)=UPPER(AA5),AA4,0)+IF(UPPER(AB16)=UPPER(AB5),AB4,0)+IF(UPPER(AC16)=UPPER(AC5),AC4,0)+IF(UPPER(AD16)=UPPER(AD5),AD4,0)+IF(UPPER(AE16)=UPPER(AE5),AE4,0)+IF(UPPER(AF16)=UPPER(AF5),AF4,0)+IF(UPPER(AG16)=UPPER(AG5),AG4,0)+IF(UPPER(AH16)=UPPER(AH5),AH4,0)</f>
        <v>71</v>
      </c>
      <c r="E16" s="18" t="s">
        <v>46</v>
      </c>
      <c r="F16" s="18" t="s">
        <v>44</v>
      </c>
      <c r="G16" s="18" t="s">
        <v>43</v>
      </c>
      <c r="H16" s="18" t="s">
        <v>45</v>
      </c>
      <c r="I16" s="18" t="s">
        <v>46</v>
      </c>
      <c r="J16" s="18" t="s">
        <v>44</v>
      </c>
      <c r="K16" s="18" t="s">
        <v>43</v>
      </c>
      <c r="L16" s="18" t="s">
        <v>45</v>
      </c>
      <c r="M16" s="18" t="s">
        <v>46</v>
      </c>
      <c r="N16" s="18" t="s">
        <v>44</v>
      </c>
      <c r="O16" s="18" t="s">
        <v>45</v>
      </c>
      <c r="P16" s="18" t="s">
        <v>46</v>
      </c>
      <c r="Q16" s="18" t="s">
        <v>46</v>
      </c>
      <c r="R16" s="18" t="s">
        <v>44</v>
      </c>
      <c r="S16" s="18" t="s">
        <v>43</v>
      </c>
      <c r="T16" s="18" t="s">
        <v>45</v>
      </c>
      <c r="U16" s="18" t="s">
        <v>46</v>
      </c>
      <c r="V16" s="18" t="s">
        <v>44</v>
      </c>
      <c r="W16" s="18" t="s">
        <v>43</v>
      </c>
      <c r="X16" s="18" t="s">
        <v>46</v>
      </c>
      <c r="Y16" s="18" t="s">
        <v>46</v>
      </c>
      <c r="Z16" s="18" t="s">
        <v>44</v>
      </c>
      <c r="AA16" s="18" t="s">
        <v>45</v>
      </c>
      <c r="AB16" s="18" t="s">
        <v>45</v>
      </c>
      <c r="AC16" s="18" t="s">
        <v>45</v>
      </c>
      <c r="AD16" s="18" t="s">
        <v>46</v>
      </c>
      <c r="AE16" s="18" t="s">
        <v>43</v>
      </c>
      <c r="AF16" s="18" t="s">
        <v>46</v>
      </c>
      <c r="AG16" s="18" t="s">
        <v>44</v>
      </c>
      <c r="AH16" s="18" t="s">
        <v>44</v>
      </c>
    </row>
    <row r="17" ht="24.0" customHeight="1">
      <c r="A17" s="22">
        <v>2.024900799E9</v>
      </c>
      <c r="B17" s="23" t="s">
        <v>58</v>
      </c>
      <c r="C17" s="24" t="str">
        <f>IFERROR(__xludf.DUMMYFUNCTION("IFERROR(XLOOKUP(A17, IMPORTRANGE(""1dfbuNQ3U1XqtdPB70d4KK-T2neyc0ZV0mzl9Q33XU-4"", ""web!A:A""), IMPORTRANGE(""1dfbuNQ3U1XqtdPB70d4KK-T2neyc0ZV0mzl9Q33XU-4"", ""web!B:B"")), """")"),"杨振宇")</f>
        <v>杨振宇</v>
      </c>
      <c r="D17" s="17">
        <f>IF(UPPER(E17)=UPPER(E5),E4,0)+IF(UPPER(F17)=UPPER(F5),F4,0)+IF(UPPER(G17)=UPPER(G5),G4,0)+IF(UPPER(H17)=UPPER(H5),H4,0)+IF(UPPER(I17)=UPPER(I5),I4,0)+IF(UPPER(J17)=UPPER(J5),J4,0)+IF(UPPER(K17)=UPPER(K5),K4,0)+IF(UPPER(L17)=UPPER(L5),L4,0)+IF(UPPER(M17)=UPPER(M5),M4,0)+IF(UPPER(N17)=UPPER(N5),N4,0)+IF(UPPER(O17)=UPPER(O5),O4,0)+IF(UPPER(P17)=UPPER(P5),P4,0)+IF(UPPER(Q17)=UPPER(Q5),Q4,0)+IF(UPPER(R17)=UPPER(R5),R4,0)+IF(UPPER(S17)=UPPER(S5),S4,0)+IF(UPPER(T17)=UPPER(T5),T4,0)+IF(UPPER(U17)=UPPER(U5),U4,0)+IF(UPPER(V17)=UPPER(V5),V4,0)+IF(UPPER(W17)=UPPER(W5),W4,0)+IF(UPPER(X17)=UPPER(X5),X4,0)+IF(UPPER(Y17)=UPPER(Y5),Y4,0)+IF(UPPER(Z17)=UPPER(Z5),Z4,0)+IF(UPPER(AA17)=UPPER(AA5),AA4,0)+IF(UPPER(AB17)=UPPER(AB5),AB4,0)+IF(UPPER(AC17)=UPPER(AC5),AC4,0)+IF(UPPER(AD17)=UPPER(AD5),AD4,0)+IF(UPPER(AE17)=UPPER(AE5),AE4,0)+IF(UPPER(AF17)=UPPER(AF5),AF4,0)+IF(UPPER(AG17)=UPPER(AG5),AG4,0)+IF(UPPER(AH17)=UPPER(AH5),AH4,0)</f>
        <v>48</v>
      </c>
      <c r="E17" s="18" t="s">
        <v>43</v>
      </c>
      <c r="F17" s="18" t="s">
        <v>44</v>
      </c>
      <c r="G17" s="18" t="s">
        <v>43</v>
      </c>
      <c r="H17" s="18" t="s">
        <v>45</v>
      </c>
      <c r="I17" s="18" t="s">
        <v>46</v>
      </c>
      <c r="J17" s="18" t="s">
        <v>46</v>
      </c>
      <c r="K17" s="18" t="s">
        <v>43</v>
      </c>
      <c r="L17" s="18" t="s">
        <v>45</v>
      </c>
      <c r="M17" s="18" t="s">
        <v>46</v>
      </c>
      <c r="N17" s="18" t="s">
        <v>46</v>
      </c>
      <c r="O17" s="18" t="s">
        <v>44</v>
      </c>
      <c r="P17" s="18" t="s">
        <v>46</v>
      </c>
      <c r="Q17" s="18" t="s">
        <v>44</v>
      </c>
      <c r="R17" s="18" t="s">
        <v>44</v>
      </c>
      <c r="S17" s="18" t="s">
        <v>43</v>
      </c>
      <c r="T17" s="18" t="s">
        <v>43</v>
      </c>
      <c r="U17" s="18" t="s">
        <v>46</v>
      </c>
      <c r="V17" s="18" t="s">
        <v>43</v>
      </c>
      <c r="W17" s="18" t="s">
        <v>44</v>
      </c>
      <c r="X17" s="18" t="s">
        <v>46</v>
      </c>
      <c r="Y17" s="18" t="s">
        <v>44</v>
      </c>
      <c r="Z17" s="18" t="s">
        <v>44</v>
      </c>
      <c r="AA17" s="18" t="s">
        <v>45</v>
      </c>
      <c r="AB17" s="18" t="s">
        <v>45</v>
      </c>
      <c r="AC17" s="18" t="s">
        <v>46</v>
      </c>
      <c r="AD17" s="18" t="s">
        <v>46</v>
      </c>
      <c r="AE17" s="18" t="s">
        <v>43</v>
      </c>
      <c r="AF17" s="18" t="s">
        <v>45</v>
      </c>
      <c r="AG17" s="18" t="s">
        <v>44</v>
      </c>
      <c r="AH17" s="18" t="s">
        <v>46</v>
      </c>
    </row>
    <row r="18" ht="24.0" customHeight="1">
      <c r="A18" s="22">
        <v>2.024904789E9</v>
      </c>
      <c r="B18" s="23" t="s">
        <v>59</v>
      </c>
      <c r="C18" s="25" t="str">
        <f>IFERROR(__xludf.DUMMYFUNCTION("IFERROR(XLOOKUP(A18, IMPORTRANGE(""1dfbuNQ3U1XqtdPB70d4KK-T2neyc0ZV0mzl9Q33XU-4"", ""web!A:A""), IMPORTRANGE(""1dfbuNQ3U1XqtdPB70d4KK-T2neyc0ZV0mzl9Q33XU-4"", ""web!B:B"")), """")"),"唐健乔")</f>
        <v>唐健乔</v>
      </c>
      <c r="D18" s="15">
        <f>IF(UPPER(E18)=UPPER(E5),E4,0)+IF(UPPER(F18)=UPPER(F5),F4,0)+IF(UPPER(G18)=UPPER(G5),G4,0)+IF(UPPER(H18)=UPPER(H5),H4,0)+IF(UPPER(I18)=UPPER(I5),I4,0)+IF(UPPER(J18)=UPPER(J5),J4,0)+IF(UPPER(K18)=UPPER(K5),K4,0)+IF(UPPER(L18)=UPPER(L5),L4,0)+IF(UPPER(M18)=UPPER(M5),M4,0)+IF(UPPER(N18)=UPPER(N5),N4,0)+IF(UPPER(O18)=UPPER(O5),O4,0)+IF(UPPER(P18)=UPPER(P5),P4,0)+IF(UPPER(Q18)=UPPER(Q5),Q4,0)+IF(UPPER(R18)=UPPER(R5),R4,0)+IF(UPPER(S18)=UPPER(S5),S4,0)+IF(UPPER(T18)=UPPER(T5),T4,0)+IF(UPPER(U18)=UPPER(U5),U4,0)+IF(UPPER(V18)=UPPER(V5),V4,0)+IF(UPPER(W18)=UPPER(W5),W4,0)+IF(UPPER(X18)=UPPER(X5),X4,0)+IF(UPPER(Y18)=UPPER(Y5),Y4,0)+IF(UPPER(Z18)=UPPER(Z5),Z4,0)+IF(UPPER(AA18)=UPPER(AA5),AA4,0)+IF(UPPER(AB18)=UPPER(AB5),AB4,0)+IF(UPPER(AC18)=UPPER(AC5),AC4,0)+IF(UPPER(AD18)=UPPER(AD5),AD4,0)+IF(UPPER(AE18)=UPPER(AE5),AE4,0)+IF(UPPER(AF18)=UPPER(AF5),AF4,0)+IF(UPPER(AG18)=UPPER(AG5),AG4,0)+IF(UPPER(AH18)=UPPER(AH5),AH4,0)</f>
        <v>56</v>
      </c>
      <c r="E18" s="13" t="s">
        <v>46</v>
      </c>
      <c r="F18" s="13" t="s">
        <v>44</v>
      </c>
      <c r="G18" s="13" t="s">
        <v>43</v>
      </c>
      <c r="H18" s="13" t="s">
        <v>45</v>
      </c>
      <c r="I18" s="13" t="s">
        <v>43</v>
      </c>
      <c r="J18" s="13" t="s">
        <v>46</v>
      </c>
      <c r="K18" s="13" t="s">
        <v>43</v>
      </c>
      <c r="L18" s="13" t="s">
        <v>45</v>
      </c>
      <c r="M18" s="13" t="s">
        <v>46</v>
      </c>
      <c r="N18" s="13" t="s">
        <v>46</v>
      </c>
      <c r="O18" s="13" t="s">
        <v>44</v>
      </c>
      <c r="P18" s="13" t="s">
        <v>46</v>
      </c>
      <c r="Q18" s="13" t="s">
        <v>46</v>
      </c>
      <c r="R18" s="13" t="s">
        <v>44</v>
      </c>
      <c r="S18" s="13" t="s">
        <v>43</v>
      </c>
      <c r="T18" s="13" t="s">
        <v>45</v>
      </c>
      <c r="U18" s="13" t="s">
        <v>46</v>
      </c>
      <c r="V18" s="13" t="s">
        <v>44</v>
      </c>
      <c r="W18" s="13" t="s">
        <v>43</v>
      </c>
      <c r="X18" s="13" t="s">
        <v>46</v>
      </c>
      <c r="Y18" s="13" t="s">
        <v>44</v>
      </c>
      <c r="Z18" s="13" t="s">
        <v>45</v>
      </c>
      <c r="AA18" s="13" t="s">
        <v>43</v>
      </c>
      <c r="AB18" s="13" t="s">
        <v>45</v>
      </c>
      <c r="AC18" s="13" t="s">
        <v>44</v>
      </c>
      <c r="AD18" s="13" t="s">
        <v>45</v>
      </c>
      <c r="AE18" s="13" t="s">
        <v>46</v>
      </c>
      <c r="AF18" s="13" t="s">
        <v>45</v>
      </c>
      <c r="AG18" s="13" t="s">
        <v>45</v>
      </c>
      <c r="AH18" s="13" t="s">
        <v>46</v>
      </c>
    </row>
    <row r="19" ht="24.0" customHeight="1">
      <c r="A19" s="22">
        <v>2.024903713E9</v>
      </c>
      <c r="B19" s="23" t="s">
        <v>60</v>
      </c>
      <c r="C19" s="24" t="str">
        <f>IFERROR(__xludf.DUMMYFUNCTION("IFERROR(XLOOKUP(A19, IMPORTRANGE(""1dfbuNQ3U1XqtdPB70d4KK-T2neyc0ZV0mzl9Q33XU-4"", ""web!A:A""), IMPORTRANGE(""1dfbuNQ3U1XqtdPB70d4KK-T2neyc0ZV0mzl9Q33XU-4"", ""web!B:B"")), """")"),"王澄")</f>
        <v>王澄</v>
      </c>
      <c r="D19" s="17">
        <f>IF(UPPER(E19)=UPPER(E5),E4,0)+IF(UPPER(F19)=UPPER(F5),F4,0)+IF(UPPER(G19)=UPPER(G5),G4,0)+IF(UPPER(H19)=UPPER(H5),H4,0)+IF(UPPER(I19)=UPPER(I5),I4,0)+IF(UPPER(J19)=UPPER(J5),J4,0)+IF(UPPER(K19)=UPPER(K5),K4,0)+IF(UPPER(L19)=UPPER(L5),L4,0)+IF(UPPER(M19)=UPPER(M5),M4,0)+IF(UPPER(N19)=UPPER(N5),N4,0)+IF(UPPER(O19)=UPPER(O5),O4,0)+IF(UPPER(P19)=UPPER(P5),P4,0)+IF(UPPER(Q19)=UPPER(Q5),Q4,0)+IF(UPPER(R19)=UPPER(R5),R4,0)+IF(UPPER(S19)=UPPER(S5),S4,0)+IF(UPPER(T19)=UPPER(T5),T4,0)+IF(UPPER(U19)=UPPER(U5),U4,0)+IF(UPPER(V19)=UPPER(V5),V4,0)+IF(UPPER(W19)=UPPER(W5),W4,0)+IF(UPPER(X19)=UPPER(X5),X4,0)+IF(UPPER(Y19)=UPPER(Y5),Y4,0)+IF(UPPER(Z19)=UPPER(Z5),Z4,0)+IF(UPPER(AA19)=UPPER(AA5),AA4,0)+IF(UPPER(AB19)=UPPER(AB5),AB4,0)+IF(UPPER(AC19)=UPPER(AC5),AC4,0)+IF(UPPER(AD19)=UPPER(AD5),AD4,0)+IF(UPPER(AE19)=UPPER(AE5),AE4,0)+IF(UPPER(AF19)=UPPER(AF5),AF4,0)+IF(UPPER(AG19)=UPPER(AG5),AG4,0)+IF(UPPER(AH19)=UPPER(AH5),AH4,0)</f>
        <v>57</v>
      </c>
      <c r="E19" s="18" t="s">
        <v>43</v>
      </c>
      <c r="F19" s="18" t="s">
        <v>44</v>
      </c>
      <c r="G19" s="18" t="s">
        <v>44</v>
      </c>
      <c r="H19" s="18" t="s">
        <v>45</v>
      </c>
      <c r="I19" s="18" t="s">
        <v>46</v>
      </c>
      <c r="J19" s="18" t="s">
        <v>46</v>
      </c>
      <c r="K19" s="18" t="s">
        <v>43</v>
      </c>
      <c r="L19" s="18" t="s">
        <v>45</v>
      </c>
      <c r="M19" s="18" t="s">
        <v>46</v>
      </c>
      <c r="N19" s="18" t="s">
        <v>46</v>
      </c>
      <c r="O19" s="18" t="s">
        <v>43</v>
      </c>
      <c r="P19" s="18" t="s">
        <v>46</v>
      </c>
      <c r="Q19" s="18" t="s">
        <v>46</v>
      </c>
      <c r="R19" s="18" t="s">
        <v>44</v>
      </c>
      <c r="S19" s="18" t="s">
        <v>43</v>
      </c>
      <c r="T19" s="18" t="s">
        <v>43</v>
      </c>
      <c r="U19" s="18" t="s">
        <v>43</v>
      </c>
      <c r="V19" s="18" t="s">
        <v>44</v>
      </c>
      <c r="W19" s="18" t="s">
        <v>43</v>
      </c>
      <c r="X19" s="18" t="s">
        <v>46</v>
      </c>
      <c r="Y19" s="18" t="s">
        <v>44</v>
      </c>
      <c r="Z19" s="18" t="s">
        <v>46</v>
      </c>
      <c r="AA19" s="18" t="s">
        <v>43</v>
      </c>
      <c r="AB19" s="18" t="s">
        <v>45</v>
      </c>
      <c r="AC19" s="18" t="s">
        <v>46</v>
      </c>
      <c r="AD19" s="18" t="s">
        <v>46</v>
      </c>
      <c r="AE19" s="18" t="s">
        <v>43</v>
      </c>
      <c r="AF19" s="18" t="s">
        <v>45</v>
      </c>
      <c r="AG19" s="18" t="s">
        <v>44</v>
      </c>
      <c r="AH19" s="18" t="s">
        <v>46</v>
      </c>
    </row>
    <row r="20" ht="24.0" customHeight="1">
      <c r="A20" s="22">
        <v>2.024902592E9</v>
      </c>
      <c r="B20" s="23" t="s">
        <v>61</v>
      </c>
      <c r="C20" s="25" t="str">
        <f>IFERROR(__xludf.DUMMYFUNCTION("IFERROR(XLOOKUP(A20, IMPORTRANGE(""1dfbuNQ3U1XqtdPB70d4KK-T2neyc0ZV0mzl9Q33XU-4"", ""web!A:A""), IMPORTRANGE(""1dfbuNQ3U1XqtdPB70d4KK-T2neyc0ZV0mzl9Q33XU-4"", ""web!B:B"")), """")"),"陈昱杨")</f>
        <v>陈昱杨</v>
      </c>
      <c r="D20" s="15">
        <f>IF(UPPER(E20)=UPPER(E5),E4,0)+IF(UPPER(F20)=UPPER(F5),F4,0)+IF(UPPER(G20)=UPPER(G5),G4,0)+IF(UPPER(H20)=UPPER(H5),H4,0)+IF(UPPER(I20)=UPPER(I5),I4,0)+IF(UPPER(J20)=UPPER(J5),J4,0)+IF(UPPER(K20)=UPPER(K5),K4,0)+IF(UPPER(L20)=UPPER(L5),L4,0)+IF(UPPER(M20)=UPPER(M5),M4,0)+IF(UPPER(N20)=UPPER(N5),N4,0)+IF(UPPER(O20)=UPPER(O5),O4,0)+IF(UPPER(P20)=UPPER(P5),P4,0)+IF(UPPER(Q20)=UPPER(Q5),Q4,0)+IF(UPPER(R20)=UPPER(R5),R4,0)+IF(UPPER(S20)=UPPER(S5),S4,0)+IF(UPPER(T20)=UPPER(T5),T4,0)+IF(UPPER(U20)=UPPER(U5),U4,0)+IF(UPPER(V20)=UPPER(V5),V4,0)+IF(UPPER(W20)=UPPER(W5),W4,0)+IF(UPPER(X20)=UPPER(X5),X4,0)+IF(UPPER(Y20)=UPPER(Y5),Y4,0)+IF(UPPER(Z20)=UPPER(Z5),Z4,0)+IF(UPPER(AA20)=UPPER(AA5),AA4,0)+IF(UPPER(AB20)=UPPER(AB5),AB4,0)+IF(UPPER(AC20)=UPPER(AC5),AC4,0)+IF(UPPER(AD20)=UPPER(AD5),AD4,0)+IF(UPPER(AE20)=UPPER(AE5),AE4,0)+IF(UPPER(AF20)=UPPER(AF5),AF4,0)+IF(UPPER(AG20)=UPPER(AG5),AG4,0)+IF(UPPER(AH20)=UPPER(AH5),AH4,0)</f>
        <v>62</v>
      </c>
      <c r="E20" s="13" t="s">
        <v>46</v>
      </c>
      <c r="F20" s="13" t="s">
        <v>44</v>
      </c>
      <c r="G20" s="13" t="s">
        <v>43</v>
      </c>
      <c r="H20" s="13" t="s">
        <v>45</v>
      </c>
      <c r="I20" s="13" t="s">
        <v>46</v>
      </c>
      <c r="J20" s="13" t="s">
        <v>46</v>
      </c>
      <c r="K20" s="13" t="s">
        <v>43</v>
      </c>
      <c r="L20" s="13" t="s">
        <v>45</v>
      </c>
      <c r="M20" s="13" t="s">
        <v>45</v>
      </c>
      <c r="N20" s="13" t="s">
        <v>46</v>
      </c>
      <c r="O20" s="13" t="s">
        <v>43</v>
      </c>
      <c r="P20" s="13" t="s">
        <v>46</v>
      </c>
      <c r="Q20" s="13" t="s">
        <v>46</v>
      </c>
      <c r="R20" s="13" t="s">
        <v>44</v>
      </c>
      <c r="S20" s="13" t="s">
        <v>43</v>
      </c>
      <c r="T20" s="13" t="s">
        <v>43</v>
      </c>
      <c r="U20" s="13" t="s">
        <v>43</v>
      </c>
      <c r="V20" s="13" t="s">
        <v>45</v>
      </c>
      <c r="W20" s="13" t="s">
        <v>43</v>
      </c>
      <c r="X20" s="13" t="s">
        <v>46</v>
      </c>
      <c r="Y20" s="13" t="s">
        <v>44</v>
      </c>
      <c r="Z20" s="13" t="s">
        <v>44</v>
      </c>
      <c r="AA20" s="13" t="s">
        <v>43</v>
      </c>
      <c r="AB20" s="13" t="s">
        <v>45</v>
      </c>
      <c r="AC20" s="13" t="s">
        <v>45</v>
      </c>
      <c r="AD20" s="13" t="s">
        <v>44</v>
      </c>
      <c r="AE20" s="13" t="s">
        <v>43</v>
      </c>
      <c r="AF20" s="13" t="s">
        <v>45</v>
      </c>
      <c r="AG20" s="13" t="s">
        <v>46</v>
      </c>
      <c r="AH20" s="13" t="s">
        <v>46</v>
      </c>
    </row>
    <row r="21" ht="24.0" customHeight="1">
      <c r="A21" s="22">
        <v>2.024904085E9</v>
      </c>
      <c r="B21" s="23" t="s">
        <v>62</v>
      </c>
      <c r="C21" s="24" t="str">
        <f>IFERROR(__xludf.DUMMYFUNCTION("IFERROR(XLOOKUP(A21, IMPORTRANGE(""1dfbuNQ3U1XqtdPB70d4KK-T2neyc0ZV0mzl9Q33XU-4"", ""web!A:A""), IMPORTRANGE(""1dfbuNQ3U1XqtdPB70d4KK-T2neyc0ZV0mzl9Q33XU-4"", ""web!B:B"")), """")"),"谢明锦")</f>
        <v>谢明锦</v>
      </c>
      <c r="D21" s="17">
        <f>IF(UPPER(E21)=UPPER(E5),E4,0)+IF(UPPER(F21)=UPPER(F5),F4,0)+IF(UPPER(G21)=UPPER(G5),G4,0)+IF(UPPER(H21)=UPPER(H5),H4,0)+IF(UPPER(I21)=UPPER(I5),I4,0)+IF(UPPER(J21)=UPPER(J5),J4,0)+IF(UPPER(K21)=UPPER(K5),K4,0)+IF(UPPER(L21)=UPPER(L5),L4,0)+IF(UPPER(M21)=UPPER(M5),M4,0)+IF(UPPER(N21)=UPPER(N5),N4,0)+IF(UPPER(O21)=UPPER(O5),O4,0)+IF(UPPER(P21)=UPPER(P5),P4,0)+IF(UPPER(Q21)=UPPER(Q5),Q4,0)+IF(UPPER(R21)=UPPER(R5),R4,0)+IF(UPPER(S21)=UPPER(S5),S4,0)+IF(UPPER(T21)=UPPER(T5),T4,0)+IF(UPPER(U21)=UPPER(U5),U4,0)+IF(UPPER(V21)=UPPER(V5),V4,0)+IF(UPPER(W21)=UPPER(W5),W4,0)+IF(UPPER(X21)=UPPER(X5),X4,0)+IF(UPPER(Y21)=UPPER(Y5),Y4,0)+IF(UPPER(Z21)=UPPER(Z5),Z4,0)+IF(UPPER(AA21)=UPPER(AA5),AA4,0)+IF(UPPER(AB21)=UPPER(AB5),AB4,0)+IF(UPPER(AC21)=UPPER(AC5),AC4,0)+IF(UPPER(AD21)=UPPER(AD5),AD4,0)+IF(UPPER(AE21)=UPPER(AE5),AE4,0)+IF(UPPER(AF21)=UPPER(AF5),AF4,0)+IF(UPPER(AG21)=UPPER(AG5),AG4,0)+IF(UPPER(AH21)=UPPER(AH5),AH4,0)</f>
        <v>70</v>
      </c>
      <c r="E21" s="18" t="s">
        <v>43</v>
      </c>
      <c r="F21" s="18" t="s">
        <v>44</v>
      </c>
      <c r="G21" s="18" t="s">
        <v>46</v>
      </c>
      <c r="H21" s="18" t="s">
        <v>45</v>
      </c>
      <c r="I21" s="18" t="s">
        <v>46</v>
      </c>
      <c r="J21" s="18" t="s">
        <v>44</v>
      </c>
      <c r="K21" s="18" t="s">
        <v>43</v>
      </c>
      <c r="L21" s="18" t="s">
        <v>45</v>
      </c>
      <c r="M21" s="18" t="s">
        <v>46</v>
      </c>
      <c r="N21" s="18" t="s">
        <v>46</v>
      </c>
      <c r="O21" s="18" t="s">
        <v>43</v>
      </c>
      <c r="P21" s="18" t="s">
        <v>44</v>
      </c>
      <c r="Q21" s="18" t="s">
        <v>46</v>
      </c>
      <c r="R21" s="18" t="s">
        <v>44</v>
      </c>
      <c r="S21" s="18" t="s">
        <v>43</v>
      </c>
      <c r="T21" s="18" t="s">
        <v>43</v>
      </c>
      <c r="U21" s="18" t="s">
        <v>43</v>
      </c>
      <c r="V21" s="18" t="s">
        <v>44</v>
      </c>
      <c r="W21" s="18" t="s">
        <v>43</v>
      </c>
      <c r="X21" s="18" t="s">
        <v>46</v>
      </c>
      <c r="Y21" s="18" t="s">
        <v>46</v>
      </c>
      <c r="Z21" s="18" t="s">
        <v>44</v>
      </c>
      <c r="AA21" s="18" t="s">
        <v>43</v>
      </c>
      <c r="AB21" s="18" t="s">
        <v>45</v>
      </c>
      <c r="AC21" s="18" t="s">
        <v>46</v>
      </c>
      <c r="AD21" s="18" t="s">
        <v>44</v>
      </c>
      <c r="AE21" s="18" t="s">
        <v>43</v>
      </c>
      <c r="AF21" s="18" t="s">
        <v>45</v>
      </c>
      <c r="AG21" s="18" t="s">
        <v>45</v>
      </c>
      <c r="AH21" s="18" t="s">
        <v>46</v>
      </c>
    </row>
    <row r="22" ht="24.0" customHeight="1">
      <c r="A22" s="22">
        <v>2.024900815E9</v>
      </c>
      <c r="B22" s="23" t="s">
        <v>63</v>
      </c>
      <c r="C22" s="25" t="str">
        <f>IFERROR(__xludf.DUMMYFUNCTION("IFERROR(XLOOKUP(A22, IMPORTRANGE(""1dfbuNQ3U1XqtdPB70d4KK-T2neyc0ZV0mzl9Q33XU-4"", ""web!A:A""), IMPORTRANGE(""1dfbuNQ3U1XqtdPB70d4KK-T2neyc0ZV0mzl9Q33XU-4"", ""web!B:B"")), """")"),"路恒")</f>
        <v>路恒</v>
      </c>
      <c r="D22" s="15">
        <f>IF(UPPER(E22)=UPPER(E5),E4,0)+IF(UPPER(F22)=UPPER(F5),F4,0)+IF(UPPER(G22)=UPPER(G5),G4,0)+IF(UPPER(H22)=UPPER(H5),H4,0)+IF(UPPER(I22)=UPPER(I5),I4,0)+IF(UPPER(J22)=UPPER(J5),J4,0)+IF(UPPER(K22)=UPPER(K5),K4,0)+IF(UPPER(L22)=UPPER(L5),L4,0)+IF(UPPER(M22)=UPPER(M5),M4,0)+IF(UPPER(N22)=UPPER(N5),N4,0)+IF(UPPER(O22)=UPPER(O5),O4,0)+IF(UPPER(P22)=UPPER(P5),P4,0)+IF(UPPER(Q22)=UPPER(Q5),Q4,0)+IF(UPPER(R22)=UPPER(R5),R4,0)+IF(UPPER(S22)=UPPER(S5),S4,0)+IF(UPPER(T22)=UPPER(T5),T4,0)+IF(UPPER(U22)=UPPER(U5),U4,0)+IF(UPPER(V22)=UPPER(V5),V4,0)+IF(UPPER(W22)=UPPER(W5),W4,0)+IF(UPPER(X22)=UPPER(X5),X4,0)+IF(UPPER(Y22)=UPPER(Y5),Y4,0)+IF(UPPER(Z22)=UPPER(Z5),Z4,0)+IF(UPPER(AA22)=UPPER(AA5),AA4,0)+IF(UPPER(AB22)=UPPER(AB5),AB4,0)+IF(UPPER(AC22)=UPPER(AC5),AC4,0)+IF(UPPER(AD22)=UPPER(AD5),AD4,0)+IF(UPPER(AE22)=UPPER(AE5),AE4,0)+IF(UPPER(AF22)=UPPER(AF5),AF4,0)+IF(UPPER(AG22)=UPPER(AG5),AG4,0)+IF(UPPER(AH22)=UPPER(AH5),AH4,0)</f>
        <v>61</v>
      </c>
      <c r="E22" s="13" t="s">
        <v>43</v>
      </c>
      <c r="F22" s="13" t="s">
        <v>44</v>
      </c>
      <c r="G22" s="13" t="s">
        <v>43</v>
      </c>
      <c r="H22" s="13" t="s">
        <v>45</v>
      </c>
      <c r="I22" s="13" t="s">
        <v>46</v>
      </c>
      <c r="J22" s="13" t="s">
        <v>46</v>
      </c>
      <c r="K22" s="13" t="s">
        <v>44</v>
      </c>
      <c r="L22" s="13" t="s">
        <v>46</v>
      </c>
      <c r="M22" s="13" t="s">
        <v>43</v>
      </c>
      <c r="N22" s="13" t="s">
        <v>46</v>
      </c>
      <c r="O22" s="13" t="s">
        <v>43</v>
      </c>
      <c r="P22" s="13" t="s">
        <v>43</v>
      </c>
      <c r="Q22" s="13" t="s">
        <v>46</v>
      </c>
      <c r="R22" s="13" t="s">
        <v>46</v>
      </c>
      <c r="S22" s="13" t="s">
        <v>43</v>
      </c>
      <c r="T22" s="13" t="s">
        <v>45</v>
      </c>
      <c r="U22" s="13" t="s">
        <v>43</v>
      </c>
      <c r="V22" s="13" t="s">
        <v>44</v>
      </c>
      <c r="W22" s="13" t="s">
        <v>43</v>
      </c>
      <c r="X22" s="13" t="s">
        <v>45</v>
      </c>
      <c r="Y22" s="13" t="s">
        <v>44</v>
      </c>
      <c r="Z22" s="13" t="s">
        <v>44</v>
      </c>
      <c r="AA22" s="13" t="s">
        <v>43</v>
      </c>
      <c r="AB22" s="13" t="s">
        <v>45</v>
      </c>
      <c r="AC22" s="13" t="s">
        <v>45</v>
      </c>
      <c r="AD22" s="13" t="s">
        <v>46</v>
      </c>
      <c r="AE22" s="13" t="s">
        <v>43</v>
      </c>
      <c r="AF22" s="13" t="s">
        <v>45</v>
      </c>
      <c r="AG22" s="13" t="s">
        <v>46</v>
      </c>
      <c r="AH22" s="13" t="s">
        <v>44</v>
      </c>
    </row>
    <row r="23" ht="24.0" customHeight="1">
      <c r="A23" s="22">
        <v>2.024900591E9</v>
      </c>
      <c r="B23" s="23" t="s">
        <v>64</v>
      </c>
      <c r="C23" s="24" t="str">
        <f>IFERROR(__xludf.DUMMYFUNCTION("IFERROR(XLOOKUP(A23, IMPORTRANGE(""1dfbuNQ3U1XqtdPB70d4KK-T2neyc0ZV0mzl9Q33XU-4"", ""web!A:A""), IMPORTRANGE(""1dfbuNQ3U1XqtdPB70d4KK-T2neyc0ZV0mzl9Q33XU-4"", ""web!B:B"")), """")"),"杨思远")</f>
        <v>杨思远</v>
      </c>
      <c r="D23" s="17">
        <f>IF(UPPER(E23)=UPPER(E5),E4,0)+IF(UPPER(F23)=UPPER(F5),F4,0)+IF(UPPER(G23)=UPPER(G5),G4,0)+IF(UPPER(H23)=UPPER(H5),H4,0)+IF(UPPER(I23)=UPPER(I5),I4,0)+IF(UPPER(J23)=UPPER(J5),J4,0)+IF(UPPER(K23)=UPPER(K5),K4,0)+IF(UPPER(L23)=UPPER(L5),L4,0)+IF(UPPER(M23)=UPPER(M5),M4,0)+IF(UPPER(N23)=UPPER(N5),N4,0)+IF(UPPER(O23)=UPPER(O5),O4,0)+IF(UPPER(P23)=UPPER(P5),P4,0)+IF(UPPER(Q23)=UPPER(Q5),Q4,0)+IF(UPPER(R23)=UPPER(R5),R4,0)+IF(UPPER(S23)=UPPER(S5),S4,0)+IF(UPPER(T23)=UPPER(T5),T4,0)+IF(UPPER(U23)=UPPER(U5),U4,0)+IF(UPPER(V23)=UPPER(V5),V4,0)+IF(UPPER(W23)=UPPER(W5),W4,0)+IF(UPPER(X23)=UPPER(X5),X4,0)+IF(UPPER(Y23)=UPPER(Y5),Y4,0)+IF(UPPER(Z23)=UPPER(Z5),Z4,0)+IF(UPPER(AA23)=UPPER(AA5),AA4,0)+IF(UPPER(AB23)=UPPER(AB5),AB4,0)+IF(UPPER(AC23)=UPPER(AC5),AC4,0)+IF(UPPER(AD23)=UPPER(AD5),AD4,0)+IF(UPPER(AE23)=UPPER(AE5),AE4,0)+IF(UPPER(AF23)=UPPER(AF5),AF4,0)+IF(UPPER(AG23)=UPPER(AG5),AG4,0)+IF(UPPER(AH23)=UPPER(AH5),AH4,0)</f>
        <v>56</v>
      </c>
      <c r="E23" s="18" t="s">
        <v>43</v>
      </c>
      <c r="F23" s="18" t="s">
        <v>44</v>
      </c>
      <c r="G23" s="18" t="s">
        <v>43</v>
      </c>
      <c r="H23" s="18" t="s">
        <v>45</v>
      </c>
      <c r="I23" s="18" t="s">
        <v>46</v>
      </c>
      <c r="J23" s="18" t="s">
        <v>46</v>
      </c>
      <c r="K23" s="18" t="s">
        <v>43</v>
      </c>
      <c r="L23" s="18" t="s">
        <v>45</v>
      </c>
      <c r="M23" s="18" t="s">
        <v>46</v>
      </c>
      <c r="N23" s="18" t="s">
        <v>46</v>
      </c>
      <c r="O23" s="18" t="s">
        <v>43</v>
      </c>
      <c r="P23" s="18" t="s">
        <v>43</v>
      </c>
      <c r="Q23" s="18" t="s">
        <v>46</v>
      </c>
      <c r="R23" s="18" t="s">
        <v>44</v>
      </c>
      <c r="S23" s="18" t="s">
        <v>46</v>
      </c>
      <c r="T23" s="18" t="s">
        <v>43</v>
      </c>
      <c r="U23" s="18" t="s">
        <v>43</v>
      </c>
      <c r="V23" s="18" t="s">
        <v>44</v>
      </c>
      <c r="W23" s="18" t="s">
        <v>43</v>
      </c>
      <c r="X23" s="18" t="s">
        <v>46</v>
      </c>
      <c r="Y23" s="18" t="s">
        <v>46</v>
      </c>
      <c r="Z23" s="18" t="s">
        <v>44</v>
      </c>
      <c r="AA23" s="18" t="s">
        <v>46</v>
      </c>
      <c r="AB23" s="18" t="s">
        <v>45</v>
      </c>
      <c r="AC23" s="18" t="s">
        <v>45</v>
      </c>
      <c r="AD23" s="18" t="s">
        <v>44</v>
      </c>
      <c r="AE23" s="18" t="s">
        <v>46</v>
      </c>
      <c r="AF23" s="18" t="s">
        <v>45</v>
      </c>
      <c r="AG23" s="18" t="s">
        <v>44</v>
      </c>
      <c r="AH23" s="18" t="s">
        <v>46</v>
      </c>
    </row>
    <row r="24" ht="24.0" customHeight="1">
      <c r="A24" s="22">
        <v>2.024903032E9</v>
      </c>
      <c r="B24" s="23" t="s">
        <v>65</v>
      </c>
      <c r="C24" s="24" t="str">
        <f>IFERROR(__xludf.DUMMYFUNCTION("IFERROR(XLOOKUP(A24, IMPORTRANGE(""1dfbuNQ3U1XqtdPB70d4KK-T2neyc0ZV0mzl9Q33XU-4"", ""web!A:A""), IMPORTRANGE(""1dfbuNQ3U1XqtdPB70d4KK-T2neyc0ZV0mzl9Q33XU-4"", ""web!B:B"")), """")"),"郑原玘")</f>
        <v>郑原玘</v>
      </c>
      <c r="D24" s="17">
        <f>IF(UPPER(E24)=UPPER(E5),E4,0)+IF(UPPER(F24)=UPPER(F5),F4,0)+IF(UPPER(G24)=UPPER(G5),G4,0)+IF(UPPER(H24)=UPPER(H5),H4,0)+IF(UPPER(I24)=UPPER(I5),I4,0)+IF(UPPER(J24)=UPPER(J5),J4,0)+IF(UPPER(K24)=UPPER(K5),K4,0)+IF(UPPER(L24)=UPPER(L5),L4,0)+IF(UPPER(M24)=UPPER(M5),M4,0)+IF(UPPER(N24)=UPPER(N5),N4,0)+IF(UPPER(O24)=UPPER(O5),O4,0)+IF(UPPER(P24)=UPPER(P5),P4,0)+IF(UPPER(Q24)=UPPER(Q5),Q4,0)+IF(UPPER(R24)=UPPER(R5),R4,0)+IF(UPPER(S24)=UPPER(S5),S4,0)+IF(UPPER(T24)=UPPER(T5),T4,0)+IF(UPPER(U24)=UPPER(U5),U4,0)+IF(UPPER(V24)=UPPER(V5),V4,0)+IF(UPPER(W24)=UPPER(W5),W4,0)+IF(UPPER(X24)=UPPER(X5),X4,0)+IF(UPPER(Y24)=UPPER(Y5),Y4,0)+IF(UPPER(Z24)=UPPER(Z5),Z4,0)+IF(UPPER(AA24)=UPPER(AA5),AA4,0)+IF(UPPER(AB24)=UPPER(AB5),AB4,0)+IF(UPPER(AC24)=UPPER(AC5),AC4,0)+IF(UPPER(AD24)=UPPER(AD5),AD4,0)+IF(UPPER(AE24)=UPPER(AE5),AE4,0)+IF(UPPER(AF24)=UPPER(AF5),AF4,0)+IF(UPPER(AG24)=UPPER(AG5),AG4,0)+IF(UPPER(AH24)=UPPER(AH5),AH4,0)</f>
        <v>73</v>
      </c>
      <c r="E24" s="18" t="s">
        <v>43</v>
      </c>
      <c r="F24" s="18" t="s">
        <v>44</v>
      </c>
      <c r="G24" s="18" t="s">
        <v>43</v>
      </c>
      <c r="H24" s="18" t="s">
        <v>45</v>
      </c>
      <c r="I24" s="18" t="s">
        <v>46</v>
      </c>
      <c r="J24" s="18" t="s">
        <v>44</v>
      </c>
      <c r="K24" s="18" t="s">
        <v>43</v>
      </c>
      <c r="L24" s="18" t="s">
        <v>45</v>
      </c>
      <c r="M24" s="18" t="s">
        <v>46</v>
      </c>
      <c r="N24" s="18" t="s">
        <v>46</v>
      </c>
      <c r="O24" s="18" t="s">
        <v>43</v>
      </c>
      <c r="P24" s="18" t="s">
        <v>44</v>
      </c>
      <c r="Q24" s="18" t="s">
        <v>46</v>
      </c>
      <c r="R24" s="18" t="s">
        <v>44</v>
      </c>
      <c r="S24" s="18" t="s">
        <v>43</v>
      </c>
      <c r="T24" s="18" t="s">
        <v>46</v>
      </c>
      <c r="U24" s="18" t="s">
        <v>43</v>
      </c>
      <c r="V24" s="18" t="s">
        <v>44</v>
      </c>
      <c r="W24" s="18" t="s">
        <v>43</v>
      </c>
      <c r="X24" s="18" t="s">
        <v>45</v>
      </c>
      <c r="Y24" s="18" t="s">
        <v>46</v>
      </c>
      <c r="Z24" s="18" t="s">
        <v>44</v>
      </c>
      <c r="AA24" s="18" t="s">
        <v>46</v>
      </c>
      <c r="AB24" s="18" t="s">
        <v>45</v>
      </c>
      <c r="AC24" s="18" t="s">
        <v>44</v>
      </c>
      <c r="AD24" s="18" t="s">
        <v>44</v>
      </c>
      <c r="AE24" s="18" t="s">
        <v>43</v>
      </c>
      <c r="AF24" s="18" t="s">
        <v>45</v>
      </c>
      <c r="AG24" s="18" t="s">
        <v>44</v>
      </c>
      <c r="AH24" s="18" t="s">
        <v>44</v>
      </c>
    </row>
    <row r="25" ht="24.0" customHeight="1">
      <c r="A25" s="22">
        <v>2.024904088E9</v>
      </c>
      <c r="B25" s="26" t="s">
        <v>66</v>
      </c>
      <c r="C25" s="25" t="str">
        <f>IFERROR(__xludf.DUMMYFUNCTION("IFERROR(XLOOKUP(A25, IMPORTRANGE(""1dfbuNQ3U1XqtdPB70d4KK-T2neyc0ZV0mzl9Q33XU-4"", ""web!A:A""), IMPORTRANGE(""1dfbuNQ3U1XqtdPB70d4KK-T2neyc0ZV0mzl9Q33XU-4"", ""web!B:B"")), """")"),"王子涵")</f>
        <v>王子涵</v>
      </c>
      <c r="D25" s="15">
        <f>IF(UPPER(E25)=UPPER(E5),E4,0)+IF(UPPER(F25)=UPPER(F5),F4,0)+IF(UPPER(G25)=UPPER(G5),G4,0)+IF(UPPER(H25)=UPPER(H5),H4,0)+IF(UPPER(I25)=UPPER(I5),I4,0)+IF(UPPER(J25)=UPPER(J5),J4,0)+IF(UPPER(K25)=UPPER(K5),K4,0)+IF(UPPER(L25)=UPPER(L5),L4,0)+IF(UPPER(M25)=UPPER(M5),M4,0)+IF(UPPER(N25)=UPPER(N5),N4,0)+IF(UPPER(O25)=UPPER(O5),O4,0)+IF(UPPER(P25)=UPPER(P5),P4,0)+IF(UPPER(Q25)=UPPER(Q5),Q4,0)+IF(UPPER(R25)=UPPER(R5),R4,0)+IF(UPPER(S25)=UPPER(S5),S4,0)+IF(UPPER(T25)=UPPER(T5),T4,0)+IF(UPPER(U25)=UPPER(U5),U4,0)+IF(UPPER(V25)=UPPER(V5),V4,0)+IF(UPPER(W25)=UPPER(W5),W4,0)+IF(UPPER(X25)=UPPER(X5),X4,0)+IF(UPPER(Y25)=UPPER(Y5),Y4,0)+IF(UPPER(Z25)=UPPER(Z5),Z4,0)+IF(UPPER(AA25)=UPPER(AA5),AA4,0)+IF(UPPER(AB25)=UPPER(AB5),AB4,0)+IF(UPPER(AC25)=UPPER(AC5),AC4,0)+IF(UPPER(AD25)=UPPER(AD5),AD4,0)+IF(UPPER(AE25)=UPPER(AE5),AE4,0)+IF(UPPER(AF25)=UPPER(AF5),AF4,0)+IF(UPPER(AG25)=UPPER(AG5),AG4,0)+IF(UPPER(AH25)=UPPER(AH5),AH4,0)</f>
        <v>64</v>
      </c>
      <c r="E25" s="13" t="s">
        <v>45</v>
      </c>
      <c r="F25" s="13" t="s">
        <v>44</v>
      </c>
      <c r="G25" s="13" t="s">
        <v>44</v>
      </c>
      <c r="H25" s="13" t="s">
        <v>45</v>
      </c>
      <c r="I25" s="13" t="s">
        <v>46</v>
      </c>
      <c r="J25" s="13" t="s">
        <v>46</v>
      </c>
      <c r="K25" s="13" t="s">
        <v>43</v>
      </c>
      <c r="L25" s="13" t="s">
        <v>45</v>
      </c>
      <c r="M25" s="13" t="s">
        <v>46</v>
      </c>
      <c r="N25" s="13" t="s">
        <v>46</v>
      </c>
      <c r="O25" s="13" t="s">
        <v>43</v>
      </c>
      <c r="P25" s="13" t="s">
        <v>46</v>
      </c>
      <c r="Q25" s="13" t="s">
        <v>43</v>
      </c>
      <c r="R25" s="13" t="s">
        <v>44</v>
      </c>
      <c r="S25" s="13" t="s">
        <v>43</v>
      </c>
      <c r="T25" s="13" t="s">
        <v>43</v>
      </c>
      <c r="U25" s="13" t="s">
        <v>45</v>
      </c>
      <c r="V25" s="13" t="s">
        <v>46</v>
      </c>
      <c r="W25" s="13" t="s">
        <v>44</v>
      </c>
      <c r="X25" s="13" t="s">
        <v>45</v>
      </c>
      <c r="Y25" s="13" t="s">
        <v>46</v>
      </c>
      <c r="Z25" s="13" t="s">
        <v>44</v>
      </c>
      <c r="AA25" s="13" t="s">
        <v>44</v>
      </c>
      <c r="AB25" s="13" t="s">
        <v>45</v>
      </c>
      <c r="AC25" s="13" t="s">
        <v>46</v>
      </c>
      <c r="AD25" s="13" t="s">
        <v>44</v>
      </c>
      <c r="AE25" s="13" t="s">
        <v>43</v>
      </c>
      <c r="AF25" s="13" t="s">
        <v>45</v>
      </c>
      <c r="AG25" s="13" t="s">
        <v>46</v>
      </c>
      <c r="AH25" s="13" t="s">
        <v>44</v>
      </c>
    </row>
    <row r="26" ht="24.0" customHeight="1">
      <c r="A26" s="22">
        <v>2.024900805E9</v>
      </c>
      <c r="B26" s="23" t="s">
        <v>67</v>
      </c>
      <c r="C26" s="24" t="str">
        <f>IFERROR(__xludf.DUMMYFUNCTION("IFERROR(XLOOKUP(A26, IMPORTRANGE(""1dfbuNQ3U1XqtdPB70d4KK-T2neyc0ZV0mzl9Q33XU-4"", ""web!A:A""), IMPORTRANGE(""1dfbuNQ3U1XqtdPB70d4KK-T2neyc0ZV0mzl9Q33XU-4"", ""web!B:B"")), """")"),"陈宣睿")</f>
        <v>陈宣睿</v>
      </c>
      <c r="D26" s="17">
        <f>IF(UPPER(E26)=UPPER(E5),E4,0)+IF(UPPER(F26)=UPPER(F5),F4,0)+IF(UPPER(G26)=UPPER(G5),G4,0)+IF(UPPER(H26)=UPPER(H5),H4,0)+IF(UPPER(I26)=UPPER(I5),I4,0)+IF(UPPER(J26)=UPPER(J5),J4,0)+IF(UPPER(K26)=UPPER(K5),K4,0)+IF(UPPER(L26)=UPPER(L5),L4,0)+IF(UPPER(M26)=UPPER(M5),M4,0)+IF(UPPER(N26)=UPPER(N5),N4,0)+IF(UPPER(O26)=UPPER(O5),O4,0)+IF(UPPER(P26)=UPPER(P5),P4,0)+IF(UPPER(Q26)=UPPER(Q5),Q4,0)+IF(UPPER(R26)=UPPER(R5),R4,0)+IF(UPPER(S26)=UPPER(S5),S4,0)+IF(UPPER(T26)=UPPER(T5),T4,0)+IF(UPPER(U26)=UPPER(U5),U4,0)+IF(UPPER(V26)=UPPER(V5),V4,0)+IF(UPPER(W26)=UPPER(W5),W4,0)+IF(UPPER(X26)=UPPER(X5),X4,0)+IF(UPPER(Y26)=UPPER(Y5),Y4,0)+IF(UPPER(Z26)=UPPER(Z5),Z4,0)+IF(UPPER(AA26)=UPPER(AA5),AA4,0)+IF(UPPER(AB26)=UPPER(AB5),AB4,0)+IF(UPPER(AC26)=UPPER(AC5),AC4,0)+IF(UPPER(AD26)=UPPER(AD5),AD4,0)+IF(UPPER(AE26)=UPPER(AE5),AE4,0)+IF(UPPER(AF26)=UPPER(AF5),AF4,0)+IF(UPPER(AG26)=UPPER(AG5),AG4,0)+IF(UPPER(AH26)=UPPER(AH5),AH4,0)</f>
        <v>46</v>
      </c>
      <c r="E26" s="18" t="s">
        <v>44</v>
      </c>
      <c r="F26" s="18" t="s">
        <v>44</v>
      </c>
      <c r="G26" s="18" t="s">
        <v>44</v>
      </c>
      <c r="H26" s="18" t="s">
        <v>45</v>
      </c>
      <c r="I26" s="18" t="s">
        <v>46</v>
      </c>
      <c r="J26" s="18" t="s">
        <v>46</v>
      </c>
      <c r="K26" s="18" t="s">
        <v>43</v>
      </c>
      <c r="L26" s="18" t="s">
        <v>45</v>
      </c>
      <c r="M26" s="18" t="s">
        <v>44</v>
      </c>
      <c r="N26" s="18" t="s">
        <v>44</v>
      </c>
      <c r="O26" s="18" t="s">
        <v>45</v>
      </c>
      <c r="P26" s="18" t="s">
        <v>46</v>
      </c>
      <c r="Q26" s="18" t="s">
        <v>44</v>
      </c>
      <c r="R26" s="18" t="s">
        <v>44</v>
      </c>
      <c r="S26" s="18" t="s">
        <v>43</v>
      </c>
      <c r="T26" s="18" t="s">
        <v>44</v>
      </c>
      <c r="U26" s="18" t="s">
        <v>44</v>
      </c>
      <c r="V26" s="18" t="s">
        <v>43</v>
      </c>
      <c r="W26" s="18" t="s">
        <v>45</v>
      </c>
      <c r="X26" s="18" t="s">
        <v>46</v>
      </c>
      <c r="Y26" s="18" t="s">
        <v>44</v>
      </c>
      <c r="Z26" s="18" t="s">
        <v>44</v>
      </c>
      <c r="AA26" s="18" t="s">
        <v>43</v>
      </c>
      <c r="AB26" s="18" t="s">
        <v>45</v>
      </c>
      <c r="AC26" s="18" t="s">
        <v>45</v>
      </c>
      <c r="AD26" s="18" t="s">
        <v>46</v>
      </c>
      <c r="AE26" s="18" t="s">
        <v>43</v>
      </c>
      <c r="AF26" s="18" t="s">
        <v>45</v>
      </c>
      <c r="AG26" s="18" t="s">
        <v>46</v>
      </c>
      <c r="AH26" s="18" t="s">
        <v>46</v>
      </c>
    </row>
    <row r="27" ht="24.0" customHeight="1">
      <c r="A27" s="22">
        <v>2.024900795E9</v>
      </c>
      <c r="B27" s="23" t="s">
        <v>68</v>
      </c>
      <c r="C27" s="25" t="str">
        <f>IFERROR(__xludf.DUMMYFUNCTION("IFERROR(XLOOKUP(A27, IMPORTRANGE(""1dfbuNQ3U1XqtdPB70d4KK-T2neyc0ZV0mzl9Q33XU-4"", ""web!A:A""), IMPORTRANGE(""1dfbuNQ3U1XqtdPB70d4KK-T2neyc0ZV0mzl9Q33XU-4"", ""web!B:B"")), """")"),"孙希彤")</f>
        <v>孙希彤</v>
      </c>
      <c r="D27" s="15">
        <f>IF(UPPER(E27)=UPPER(E5),E4,0)+IF(UPPER(F27)=UPPER(F5),F4,0)+IF(UPPER(G27)=UPPER(G5),G4,0)+IF(UPPER(H27)=UPPER(H5),H4,0)+IF(UPPER(I27)=UPPER(I5),I4,0)+IF(UPPER(J27)=UPPER(J5),J4,0)+IF(UPPER(K27)=UPPER(K5),K4,0)+IF(UPPER(L27)=UPPER(L5),L4,0)+IF(UPPER(M27)=UPPER(M5),M4,0)+IF(UPPER(N27)=UPPER(N5),N4,0)+IF(UPPER(O27)=UPPER(O5),O4,0)+IF(UPPER(P27)=UPPER(P5),P4,0)+IF(UPPER(Q27)=UPPER(Q5),Q4,0)+IF(UPPER(R27)=UPPER(R5),R4,0)+IF(UPPER(S27)=UPPER(S5),S4,0)+IF(UPPER(T27)=UPPER(T5),T4,0)+IF(UPPER(U27)=UPPER(U5),U4,0)+IF(UPPER(V27)=UPPER(V5),V4,0)+IF(UPPER(W27)=UPPER(W5),W4,0)+IF(UPPER(X27)=UPPER(X5),X4,0)+IF(UPPER(Y27)=UPPER(Y5),Y4,0)+IF(UPPER(Z27)=UPPER(Z5),Z4,0)+IF(UPPER(AA27)=UPPER(AA5),AA4,0)+IF(UPPER(AB27)=UPPER(AB5),AB4,0)+IF(UPPER(AC27)=UPPER(AC5),AC4,0)+IF(UPPER(AD27)=UPPER(AD5),AD4,0)+IF(UPPER(AE27)=UPPER(AE5),AE4,0)+IF(UPPER(AF27)=UPPER(AF5),AF4,0)+IF(UPPER(AG27)=UPPER(AG5),AG4,0)+IF(UPPER(AH27)=UPPER(AH5),AH4,0)</f>
        <v>44</v>
      </c>
      <c r="E27" s="13" t="s">
        <v>46</v>
      </c>
      <c r="F27" s="13" t="s">
        <v>44</v>
      </c>
      <c r="G27" s="13" t="s">
        <v>44</v>
      </c>
      <c r="H27" s="13" t="s">
        <v>45</v>
      </c>
      <c r="I27" s="13" t="s">
        <v>46</v>
      </c>
      <c r="J27" s="13" t="s">
        <v>46</v>
      </c>
      <c r="K27" s="13" t="s">
        <v>43</v>
      </c>
      <c r="L27" s="13" t="s">
        <v>45</v>
      </c>
      <c r="M27" s="13" t="s">
        <v>46</v>
      </c>
      <c r="N27" s="13" t="s">
        <v>44</v>
      </c>
      <c r="O27" s="13" t="s">
        <v>43</v>
      </c>
      <c r="P27" s="13" t="s">
        <v>43</v>
      </c>
      <c r="Q27" s="13" t="s">
        <v>43</v>
      </c>
      <c r="R27" s="13" t="s">
        <v>44</v>
      </c>
      <c r="S27" s="13" t="s">
        <v>43</v>
      </c>
      <c r="T27" s="13" t="s">
        <v>43</v>
      </c>
      <c r="U27" s="13" t="s">
        <v>43</v>
      </c>
      <c r="V27" s="13" t="s">
        <v>44</v>
      </c>
      <c r="W27" s="13" t="s">
        <v>43</v>
      </c>
      <c r="X27" s="13" t="s">
        <v>46</v>
      </c>
      <c r="Y27" s="13" t="s">
        <v>43</v>
      </c>
      <c r="Z27" s="13" t="s">
        <v>44</v>
      </c>
      <c r="AA27" s="13" t="s">
        <v>44</v>
      </c>
      <c r="AB27" s="13" t="s">
        <v>43</v>
      </c>
      <c r="AC27" s="13" t="s">
        <v>44</v>
      </c>
      <c r="AD27" s="13" t="s">
        <v>46</v>
      </c>
      <c r="AE27" s="13" t="s">
        <v>46</v>
      </c>
      <c r="AF27" s="13" t="s">
        <v>44</v>
      </c>
      <c r="AG27" s="13" t="s">
        <v>44</v>
      </c>
      <c r="AH27" s="13" t="s">
        <v>46</v>
      </c>
    </row>
    <row r="28" ht="24.0" customHeight="1">
      <c r="A28" s="22">
        <v>2.024900813E9</v>
      </c>
      <c r="B28" s="23" t="s">
        <v>69</v>
      </c>
      <c r="C28" s="24" t="str">
        <f>IFERROR(__xludf.DUMMYFUNCTION("IFERROR(XLOOKUP(A28, IMPORTRANGE(""1dfbuNQ3U1XqtdPB70d4KK-T2neyc0ZV0mzl9Q33XU-4"", ""web!A:A""), IMPORTRANGE(""1dfbuNQ3U1XqtdPB70d4KK-T2neyc0ZV0mzl9Q33XU-4"", ""web!B:B"")), """")"),"王田愈可")</f>
        <v>王田愈可</v>
      </c>
      <c r="D28" s="17">
        <f>IF(UPPER(E28)=UPPER(E5),E4,0)+IF(UPPER(F28)=UPPER(F5),F4,0)+IF(UPPER(G28)=UPPER(G5),G4,0)+IF(UPPER(H28)=UPPER(H5),H4,0)+IF(UPPER(I28)=UPPER(I5),I4,0)+IF(UPPER(J28)=UPPER(J5),J4,0)+IF(UPPER(K28)=UPPER(K5),K4,0)+IF(UPPER(L28)=UPPER(L5),L4,0)+IF(UPPER(M28)=UPPER(M5),M4,0)+IF(UPPER(N28)=UPPER(N5),N4,0)+IF(UPPER(O28)=UPPER(O5),O4,0)+IF(UPPER(P28)=UPPER(P5),P4,0)+IF(UPPER(Q28)=UPPER(Q5),Q4,0)+IF(UPPER(R28)=UPPER(R5),R4,0)+IF(UPPER(S28)=UPPER(S5),S4,0)+IF(UPPER(T28)=UPPER(T5),T4,0)+IF(UPPER(U28)=UPPER(U5),U4,0)+IF(UPPER(V28)=UPPER(V5),V4,0)+IF(UPPER(W28)=UPPER(W5),W4,0)+IF(UPPER(X28)=UPPER(X5),X4,0)+IF(UPPER(Y28)=UPPER(Y5),Y4,0)+IF(UPPER(Z28)=UPPER(Z5),Z4,0)+IF(UPPER(AA28)=UPPER(AA5),AA4,0)+IF(UPPER(AB28)=UPPER(AB5),AB4,0)+IF(UPPER(AC28)=UPPER(AC5),AC4,0)+IF(UPPER(AD28)=UPPER(AD5),AD4,0)+IF(UPPER(AE28)=UPPER(AE5),AE4,0)+IF(UPPER(AF28)=UPPER(AF5),AF4,0)+IF(UPPER(AG28)=UPPER(AG5),AG4,0)+IF(UPPER(AH28)=UPPER(AH5),AH4,0)</f>
        <v>65</v>
      </c>
      <c r="E28" s="18" t="s">
        <v>46</v>
      </c>
      <c r="F28" s="18" t="s">
        <v>44</v>
      </c>
      <c r="G28" s="18" t="s">
        <v>43</v>
      </c>
      <c r="H28" s="18" t="s">
        <v>45</v>
      </c>
      <c r="I28" s="18" t="s">
        <v>46</v>
      </c>
      <c r="J28" s="18" t="s">
        <v>44</v>
      </c>
      <c r="K28" s="18" t="s">
        <v>43</v>
      </c>
      <c r="L28" s="18" t="s">
        <v>45</v>
      </c>
      <c r="M28" s="18" t="s">
        <v>46</v>
      </c>
      <c r="N28" s="18" t="s">
        <v>46</v>
      </c>
      <c r="O28" s="18" t="s">
        <v>43</v>
      </c>
      <c r="P28" s="18" t="s">
        <v>44</v>
      </c>
      <c r="Q28" s="18" t="s">
        <v>46</v>
      </c>
      <c r="R28" s="18" t="s">
        <v>44</v>
      </c>
      <c r="S28" s="18" t="s">
        <v>43</v>
      </c>
      <c r="T28" s="18" t="s">
        <v>45</v>
      </c>
      <c r="U28" s="18" t="s">
        <v>46</v>
      </c>
      <c r="V28" s="18" t="s">
        <v>44</v>
      </c>
      <c r="W28" s="18" t="s">
        <v>43</v>
      </c>
      <c r="X28" s="18" t="s">
        <v>46</v>
      </c>
      <c r="Y28" s="18" t="s">
        <v>43</v>
      </c>
      <c r="Z28" s="18" t="s">
        <v>45</v>
      </c>
      <c r="AA28" s="18" t="s">
        <v>43</v>
      </c>
      <c r="AB28" s="18" t="s">
        <v>45</v>
      </c>
      <c r="AC28" s="18" t="s">
        <v>45</v>
      </c>
      <c r="AD28" s="18" t="s">
        <v>46</v>
      </c>
      <c r="AE28" s="18" t="s">
        <v>46</v>
      </c>
      <c r="AF28" s="18" t="s">
        <v>45</v>
      </c>
      <c r="AG28" s="18" t="s">
        <v>44</v>
      </c>
      <c r="AH28" s="18" t="s">
        <v>46</v>
      </c>
    </row>
    <row r="29" ht="24.0" customHeight="1">
      <c r="A29" s="22">
        <v>2.024902256E9</v>
      </c>
      <c r="B29" s="23" t="s">
        <v>70</v>
      </c>
      <c r="C29" s="25" t="str">
        <f>IFERROR(__xludf.DUMMYFUNCTION("IFERROR(XLOOKUP(A29, IMPORTRANGE(""1dfbuNQ3U1XqtdPB70d4KK-T2neyc0ZV0mzl9Q33XU-4"", ""web!A:A""), IMPORTRANGE(""1dfbuNQ3U1XqtdPB70d4KK-T2neyc0ZV0mzl9Q33XU-4"", ""web!B:B"")), """")"),"李乐天")</f>
        <v>李乐天</v>
      </c>
      <c r="D29" s="15">
        <f>IF(UPPER(E29)=UPPER(E5),E4,0)+IF(UPPER(F29)=UPPER(F5),F4,0)+IF(UPPER(G29)=UPPER(G5),G4,0)+IF(UPPER(H29)=UPPER(H5),H4,0)+IF(UPPER(I29)=UPPER(I5),I4,0)+IF(UPPER(J29)=UPPER(J5),J4,0)+IF(UPPER(K29)=UPPER(K5),K4,0)+IF(UPPER(L29)=UPPER(L5),L4,0)+IF(UPPER(M29)=UPPER(M5),M4,0)+IF(UPPER(N29)=UPPER(N5),N4,0)+IF(UPPER(O29)=UPPER(O5),O4,0)+IF(UPPER(P29)=UPPER(P5),P4,0)+IF(UPPER(Q29)=UPPER(Q5),Q4,0)+IF(UPPER(R29)=UPPER(R5),R4,0)+IF(UPPER(S29)=UPPER(S5),S4,0)+IF(UPPER(T29)=UPPER(T5),T4,0)+IF(UPPER(U29)=UPPER(U5),U4,0)+IF(UPPER(V29)=UPPER(V5),V4,0)+IF(UPPER(W29)=UPPER(W5),W4,0)+IF(UPPER(X29)=UPPER(X5),X4,0)+IF(UPPER(Y29)=UPPER(Y5),Y4,0)+IF(UPPER(Z29)=UPPER(Z5),Z4,0)+IF(UPPER(AA29)=UPPER(AA5),AA4,0)+IF(UPPER(AB29)=UPPER(AB5),AB4,0)+IF(UPPER(AC29)=UPPER(AC5),AC4,0)+IF(UPPER(AD29)=UPPER(AD5),AD4,0)+IF(UPPER(AE29)=UPPER(AE5),AE4,0)+IF(UPPER(AF29)=UPPER(AF5),AF4,0)+IF(UPPER(AG29)=UPPER(AG5),AG4,0)+IF(UPPER(AH29)=UPPER(AH5),AH4,0)</f>
        <v>79</v>
      </c>
      <c r="E29" s="13" t="s">
        <v>43</v>
      </c>
      <c r="F29" s="13" t="s">
        <v>44</v>
      </c>
      <c r="G29" s="13" t="s">
        <v>43</v>
      </c>
      <c r="H29" s="13" t="s">
        <v>45</v>
      </c>
      <c r="I29" s="13" t="s">
        <v>46</v>
      </c>
      <c r="J29" s="13" t="s">
        <v>44</v>
      </c>
      <c r="K29" s="13" t="s">
        <v>43</v>
      </c>
      <c r="L29" s="13" t="s">
        <v>45</v>
      </c>
      <c r="M29" s="13" t="s">
        <v>46</v>
      </c>
      <c r="N29" s="13" t="s">
        <v>46</v>
      </c>
      <c r="O29" s="13" t="s">
        <v>43</v>
      </c>
      <c r="P29" s="13" t="s">
        <v>44</v>
      </c>
      <c r="Q29" s="13" t="s">
        <v>46</v>
      </c>
      <c r="R29" s="13" t="s">
        <v>44</v>
      </c>
      <c r="S29" s="13" t="s">
        <v>43</v>
      </c>
      <c r="T29" s="13" t="s">
        <v>45</v>
      </c>
      <c r="U29" s="13" t="s">
        <v>46</v>
      </c>
      <c r="V29" s="13" t="s">
        <v>44</v>
      </c>
      <c r="W29" s="13" t="s">
        <v>43</v>
      </c>
      <c r="X29" s="13" t="s">
        <v>45</v>
      </c>
      <c r="Y29" s="13" t="s">
        <v>44</v>
      </c>
      <c r="Z29" s="13" t="s">
        <v>44</v>
      </c>
      <c r="AA29" s="13" t="s">
        <v>43</v>
      </c>
      <c r="AB29" s="13" t="s">
        <v>45</v>
      </c>
      <c r="AC29" s="13" t="s">
        <v>43</v>
      </c>
      <c r="AD29" s="13" t="s">
        <v>44</v>
      </c>
      <c r="AE29" s="13" t="s">
        <v>43</v>
      </c>
      <c r="AF29" s="13" t="s">
        <v>45</v>
      </c>
      <c r="AG29" s="13" t="s">
        <v>44</v>
      </c>
      <c r="AH29" s="13" t="s">
        <v>44</v>
      </c>
    </row>
    <row r="30" ht="24.0" customHeight="1">
      <c r="A30" s="27">
        <v>2.024902584E9</v>
      </c>
      <c r="B30" s="26" t="s">
        <v>71</v>
      </c>
      <c r="C30" s="25" t="str">
        <f>IFERROR(__xludf.DUMMYFUNCTION("IFERROR(XLOOKUP(A30, IMPORTRANGE(""1dfbuNQ3U1XqtdPB70d4KK-T2neyc0ZV0mzl9Q33XU-4"", ""web!A:A""), IMPORTRANGE(""1dfbuNQ3U1XqtdPB70d4KK-T2neyc0ZV0mzl9Q33XU-4"", ""web!B:B"")), """")"),"伍宇轩")</f>
        <v>伍宇轩</v>
      </c>
      <c r="D30" s="15">
        <f>IF(UPPER(E30)=UPPER(E5),E4,0)+IF(UPPER(F30)=UPPER(F5),F4,0)+IF(UPPER(G30)=UPPER(G5),G4,0)+IF(UPPER(H30)=UPPER(H5),H4,0)+IF(UPPER(I30)=UPPER(I5),I4,0)+IF(UPPER(J30)=UPPER(J5),J4,0)+IF(UPPER(K30)=UPPER(K5),K4,0)+IF(UPPER(L30)=UPPER(L5),L4,0)+IF(UPPER(M30)=UPPER(M5),M4,0)+IF(UPPER(N30)=UPPER(N5),N4,0)+IF(UPPER(O30)=UPPER(O5),O4,0)+IF(UPPER(P30)=UPPER(P5),P4,0)+IF(UPPER(Q30)=UPPER(Q5),Q4,0)+IF(UPPER(R30)=UPPER(R5),R4,0)+IF(UPPER(S30)=UPPER(S5),S4,0)+IF(UPPER(T30)=UPPER(T5),T4,0)+IF(UPPER(U30)=UPPER(U5),U4,0)+IF(UPPER(V30)=UPPER(V5),V4,0)+IF(UPPER(W30)=UPPER(W5),W4,0)+IF(UPPER(X30)=UPPER(X5),X4,0)+IF(UPPER(Y30)=UPPER(Y5),Y4,0)+IF(UPPER(Z30)=UPPER(Z5),Z4,0)+IF(UPPER(AA30)=UPPER(AA5),AA4,0)+IF(UPPER(AB30)=UPPER(AB5),AB4,0)+IF(UPPER(AC30)=UPPER(AC5),AC4,0)+IF(UPPER(AD30)=UPPER(AD5),AD4,0)+IF(UPPER(AE30)=UPPER(AE5),AE4,0)+IF(UPPER(AF30)=UPPER(AF5),AF4,0)+IF(UPPER(AG30)=UPPER(AG5),AG4,0)+IF(UPPER(AH30)=UPPER(AH5),AH4,0)</f>
        <v>51</v>
      </c>
      <c r="E30" s="13" t="s">
        <v>46</v>
      </c>
      <c r="F30" s="13" t="s">
        <v>44</v>
      </c>
      <c r="G30" s="13" t="s">
        <v>43</v>
      </c>
      <c r="H30" s="13" t="s">
        <v>45</v>
      </c>
      <c r="I30" s="13" t="s">
        <v>46</v>
      </c>
      <c r="J30" s="13" t="s">
        <v>46</v>
      </c>
      <c r="K30" s="13" t="s">
        <v>43</v>
      </c>
      <c r="L30" s="13" t="s">
        <v>45</v>
      </c>
      <c r="M30" s="13" t="s">
        <v>46</v>
      </c>
      <c r="N30" s="13" t="s">
        <v>46</v>
      </c>
      <c r="O30" s="13" t="s">
        <v>43</v>
      </c>
      <c r="P30" s="13" t="s">
        <v>43</v>
      </c>
      <c r="Q30" s="13" t="s">
        <v>46</v>
      </c>
      <c r="R30" s="13" t="s">
        <v>44</v>
      </c>
      <c r="S30" s="13" t="s">
        <v>43</v>
      </c>
      <c r="T30" s="13" t="s">
        <v>43</v>
      </c>
      <c r="U30" s="13" t="s">
        <v>46</v>
      </c>
      <c r="V30" s="13" t="s">
        <v>44</v>
      </c>
      <c r="W30" s="13" t="s">
        <v>43</v>
      </c>
      <c r="X30" s="13" t="s">
        <v>43</v>
      </c>
      <c r="Y30" s="13" t="s">
        <v>44</v>
      </c>
      <c r="Z30" s="13" t="s">
        <v>46</v>
      </c>
      <c r="AA30" s="13" t="s">
        <v>45</v>
      </c>
      <c r="AB30" s="13" t="s">
        <v>43</v>
      </c>
      <c r="AC30" s="13" t="s">
        <v>43</v>
      </c>
      <c r="AD30" s="13" t="s">
        <v>46</v>
      </c>
      <c r="AE30" s="13" t="s">
        <v>43</v>
      </c>
      <c r="AF30" s="13" t="s">
        <v>43</v>
      </c>
      <c r="AG30" s="13" t="s">
        <v>43</v>
      </c>
      <c r="AH30" s="13" t="s">
        <v>45</v>
      </c>
    </row>
    <row r="31" ht="24.0" customHeight="1">
      <c r="A31" s="27">
        <v>2.024904084E9</v>
      </c>
      <c r="B31" s="23" t="s">
        <v>72</v>
      </c>
      <c r="C31" s="24" t="str">
        <f>IFERROR(__xludf.DUMMYFUNCTION("IFERROR(XLOOKUP(A31, IMPORTRANGE(""1dfbuNQ3U1XqtdPB70d4KK-T2neyc0ZV0mzl9Q33XU-4"", ""web!A:A""), IMPORTRANGE(""1dfbuNQ3U1XqtdPB70d4KK-T2neyc0ZV0mzl9Q33XU-4"", ""web!B:B"")), """")"),"党方婕")</f>
        <v>党方婕</v>
      </c>
      <c r="D31" s="17">
        <f>IF(UPPER(E31)=UPPER(E5),E4,0)+IF(UPPER(F31)=UPPER(F5),F4,0)+IF(UPPER(G31)=UPPER(G5),G4,0)+IF(UPPER(H31)=UPPER(H5),H4,0)+IF(UPPER(I31)=UPPER(I5),I4,0)+IF(UPPER(J31)=UPPER(J5),J4,0)+IF(UPPER(K31)=UPPER(K5),K4,0)+IF(UPPER(L31)=UPPER(L5),L4,0)+IF(UPPER(M31)=UPPER(M5),M4,0)+IF(UPPER(N31)=UPPER(N5),N4,0)+IF(UPPER(O31)=UPPER(O5),O4,0)+IF(UPPER(P31)=UPPER(P5),P4,0)+IF(UPPER(Q31)=UPPER(Q5),Q4,0)+IF(UPPER(R31)=UPPER(R5),R4,0)+IF(UPPER(S31)=UPPER(S5),S4,0)+IF(UPPER(T31)=UPPER(T5),T4,0)+IF(UPPER(U31)=UPPER(U5),U4,0)+IF(UPPER(V31)=UPPER(V5),V4,0)+IF(UPPER(W31)=UPPER(W5),W4,0)+IF(UPPER(X31)=UPPER(X5),X4,0)+IF(UPPER(Y31)=UPPER(Y5),Y4,0)+IF(UPPER(Z31)=UPPER(Z5),Z4,0)+IF(UPPER(AA31)=UPPER(AA5),AA4,0)+IF(UPPER(AB31)=UPPER(AB5),AB4,0)+IF(UPPER(AC31)=UPPER(AC5),AC4,0)+IF(UPPER(AD31)=UPPER(AD5),AD4,0)+IF(UPPER(AE31)=UPPER(AE5),AE4,0)+IF(UPPER(AF31)=UPPER(AF5),AF4,0)+IF(UPPER(AG31)=UPPER(AG5),AG4,0)+IF(UPPER(AH31)=UPPER(AH5),AH4,0)</f>
        <v>47</v>
      </c>
      <c r="E31" s="18" t="s">
        <v>45</v>
      </c>
      <c r="F31" s="18" t="s">
        <v>43</v>
      </c>
      <c r="G31" s="18" t="s">
        <v>43</v>
      </c>
      <c r="H31" s="18" t="s">
        <v>45</v>
      </c>
      <c r="I31" s="18" t="s">
        <v>44</v>
      </c>
      <c r="J31" s="18" t="s">
        <v>46</v>
      </c>
      <c r="K31" s="18" t="s">
        <v>43</v>
      </c>
      <c r="L31" s="18" t="s">
        <v>46</v>
      </c>
      <c r="M31" s="18" t="s">
        <v>43</v>
      </c>
      <c r="N31" s="18" t="s">
        <v>46</v>
      </c>
      <c r="O31" s="18" t="s">
        <v>45</v>
      </c>
      <c r="P31" s="18" t="s">
        <v>46</v>
      </c>
      <c r="Q31" s="18" t="s">
        <v>46</v>
      </c>
      <c r="R31" s="18" t="s">
        <v>46</v>
      </c>
      <c r="S31" s="18" t="s">
        <v>43</v>
      </c>
      <c r="T31" s="18" t="s">
        <v>43</v>
      </c>
      <c r="U31" s="18" t="s">
        <v>46</v>
      </c>
      <c r="V31" s="18" t="s">
        <v>43</v>
      </c>
      <c r="W31" s="18" t="s">
        <v>43</v>
      </c>
      <c r="X31" s="18" t="s">
        <v>46</v>
      </c>
      <c r="Y31" s="18" t="s">
        <v>44</v>
      </c>
      <c r="Z31" s="18" t="s">
        <v>44</v>
      </c>
      <c r="AA31" s="18" t="s">
        <v>43</v>
      </c>
      <c r="AB31" s="18" t="s">
        <v>45</v>
      </c>
      <c r="AC31" s="18" t="s">
        <v>46</v>
      </c>
      <c r="AD31" s="18" t="s">
        <v>46</v>
      </c>
      <c r="AE31" s="18" t="s">
        <v>43</v>
      </c>
      <c r="AF31" s="18" t="s">
        <v>45</v>
      </c>
      <c r="AG31" s="18" t="s">
        <v>45</v>
      </c>
      <c r="AH31" s="18" t="s">
        <v>44</v>
      </c>
    </row>
    <row r="32" ht="24.0" customHeight="1">
      <c r="A32" s="27">
        <v>2.024903712E9</v>
      </c>
      <c r="B32" s="23" t="s">
        <v>73</v>
      </c>
      <c r="C32" s="25" t="str">
        <f>IFERROR(__xludf.DUMMYFUNCTION("IFERROR(XLOOKUP(A32, IMPORTRANGE(""1dfbuNQ3U1XqtdPB70d4KK-T2neyc0ZV0mzl9Q33XU-4"", ""web!A:A""), IMPORTRANGE(""1dfbuNQ3U1XqtdPB70d4KK-T2neyc0ZV0mzl9Q33XU-4"", ""web!B:B"")), """")"),"黄淇宇")</f>
        <v>黄淇宇</v>
      </c>
      <c r="D32" s="15">
        <f>IF(UPPER(E32)=UPPER(E5),E4,0)+IF(UPPER(F32)=UPPER(F5),F4,0)+IF(UPPER(G32)=UPPER(G5),G4,0)+IF(UPPER(H32)=UPPER(H5),H4,0)+IF(UPPER(I32)=UPPER(I5),I4,0)+IF(UPPER(J32)=UPPER(J5),J4,0)+IF(UPPER(K32)=UPPER(K5),K4,0)+IF(UPPER(L32)=UPPER(L5),L4,0)+IF(UPPER(M32)=UPPER(M5),M4,0)+IF(UPPER(N32)=UPPER(N5),N4,0)+IF(UPPER(O32)=UPPER(O5),O4,0)+IF(UPPER(P32)=UPPER(P5),P4,0)+IF(UPPER(Q32)=UPPER(Q5),Q4,0)+IF(UPPER(R32)=UPPER(R5),R4,0)+IF(UPPER(S32)=UPPER(S5),S4,0)+IF(UPPER(T32)=UPPER(T5),T4,0)+IF(UPPER(U32)=UPPER(U5),U4,0)+IF(UPPER(V32)=UPPER(V5),V4,0)+IF(UPPER(W32)=UPPER(W5),W4,0)+IF(UPPER(X32)=UPPER(X5),X4,0)+IF(UPPER(Y32)=UPPER(Y5),Y4,0)+IF(UPPER(Z32)=UPPER(Z5),Z4,0)+IF(UPPER(AA32)=UPPER(AA5),AA4,0)+IF(UPPER(AB32)=UPPER(AB5),AB4,0)+IF(UPPER(AC32)=UPPER(AC5),AC4,0)+IF(UPPER(AD32)=UPPER(AD5),AD4,0)+IF(UPPER(AE32)=UPPER(AE5),AE4,0)+IF(UPPER(AF32)=UPPER(AF5),AF4,0)+IF(UPPER(AG32)=UPPER(AG5),AG4,0)+IF(UPPER(AH32)=UPPER(AH5),AH4,0)</f>
        <v>63</v>
      </c>
      <c r="E32" s="13" t="s">
        <v>46</v>
      </c>
      <c r="F32" s="13" t="s">
        <v>44</v>
      </c>
      <c r="G32" s="13" t="s">
        <v>43</v>
      </c>
      <c r="H32" s="13" t="s">
        <v>45</v>
      </c>
      <c r="I32" s="13" t="s">
        <v>46</v>
      </c>
      <c r="J32" s="13" t="s">
        <v>44</v>
      </c>
      <c r="K32" s="13" t="s">
        <v>43</v>
      </c>
      <c r="L32" s="13" t="s">
        <v>45</v>
      </c>
      <c r="M32" s="13" t="s">
        <v>43</v>
      </c>
      <c r="N32" s="13" t="s">
        <v>46</v>
      </c>
      <c r="O32" s="13" t="s">
        <v>44</v>
      </c>
      <c r="P32" s="13" t="s">
        <v>46</v>
      </c>
      <c r="Q32" s="13" t="s">
        <v>46</v>
      </c>
      <c r="R32" s="13" t="s">
        <v>44</v>
      </c>
      <c r="S32" s="13" t="s">
        <v>43</v>
      </c>
      <c r="T32" s="13" t="s">
        <v>43</v>
      </c>
      <c r="U32" s="13" t="s">
        <v>45</v>
      </c>
      <c r="V32" s="13" t="s">
        <v>44</v>
      </c>
      <c r="W32" s="13" t="s">
        <v>43</v>
      </c>
      <c r="X32" s="13" t="s">
        <v>45</v>
      </c>
      <c r="Y32" s="13" t="s">
        <v>44</v>
      </c>
      <c r="Z32" s="13" t="s">
        <v>46</v>
      </c>
      <c r="AA32" s="13" t="s">
        <v>46</v>
      </c>
      <c r="AB32" s="13" t="s">
        <v>45</v>
      </c>
      <c r="AC32" s="13" t="s">
        <v>46</v>
      </c>
      <c r="AD32" s="13" t="s">
        <v>44</v>
      </c>
      <c r="AE32" s="13" t="s">
        <v>43</v>
      </c>
      <c r="AF32" s="13" t="s">
        <v>45</v>
      </c>
      <c r="AG32" s="13" t="s">
        <v>44</v>
      </c>
      <c r="AH32" s="13" t="s">
        <v>46</v>
      </c>
    </row>
    <row r="33" ht="24.0" customHeight="1">
      <c r="A33" s="27">
        <v>2.024902264E9</v>
      </c>
      <c r="B33" s="23" t="s">
        <v>74</v>
      </c>
      <c r="C33" s="24" t="str">
        <f>IFERROR(__xludf.DUMMYFUNCTION("IFERROR(XLOOKUP(A33, IMPORTRANGE(""1dfbuNQ3U1XqtdPB70d4KK-T2neyc0ZV0mzl9Q33XU-4"", ""web!A:A""), IMPORTRANGE(""1dfbuNQ3U1XqtdPB70d4KK-T2neyc0ZV0mzl9Q33XU-4"", ""web!B:B"")), """")"),"高博源")</f>
        <v>高博源</v>
      </c>
      <c r="D33" s="17">
        <f>IF(UPPER(E33)=UPPER(E5),E4,0)+IF(UPPER(F33)=UPPER(F5),F4,0)+IF(UPPER(G33)=UPPER(G5),G4,0)+IF(UPPER(H33)=UPPER(H5),H4,0)+IF(UPPER(I33)=UPPER(I5),I4,0)+IF(UPPER(J33)=UPPER(J5),J4,0)+IF(UPPER(K33)=UPPER(K5),K4,0)+IF(UPPER(L33)=UPPER(L5),L4,0)+IF(UPPER(M33)=UPPER(M5),M4,0)+IF(UPPER(N33)=UPPER(N5),N4,0)+IF(UPPER(O33)=UPPER(O5),O4,0)+IF(UPPER(P33)=UPPER(P5),P4,0)+IF(UPPER(Q33)=UPPER(Q5),Q4,0)+IF(UPPER(R33)=UPPER(R5),R4,0)+IF(UPPER(S33)=UPPER(S5),S4,0)+IF(UPPER(T33)=UPPER(T5),T4,0)+IF(UPPER(U33)=UPPER(U5),U4,0)+IF(UPPER(V33)=UPPER(V5),V4,0)+IF(UPPER(W33)=UPPER(W5),W4,0)+IF(UPPER(X33)=UPPER(X5),X4,0)+IF(UPPER(Y33)=UPPER(Y5),Y4,0)+IF(UPPER(Z33)=UPPER(Z5),Z4,0)+IF(UPPER(AA33)=UPPER(AA5),AA4,0)+IF(UPPER(AB33)=UPPER(AB5),AB4,0)+IF(UPPER(AC33)=UPPER(AC5),AC4,0)+IF(UPPER(AD33)=UPPER(AD5),AD4,0)+IF(UPPER(AE33)=UPPER(AE5),AE4,0)+IF(UPPER(AF33)=UPPER(AF5),AF4,0)+IF(UPPER(AG33)=UPPER(AG5),AG4,0)+IF(UPPER(AH33)=UPPER(AH5),AH4,0)</f>
        <v>46</v>
      </c>
      <c r="E33" s="18" t="s">
        <v>43</v>
      </c>
      <c r="F33" s="18" t="s">
        <v>44</v>
      </c>
      <c r="G33" s="18" t="s">
        <v>44</v>
      </c>
      <c r="H33" s="18" t="s">
        <v>45</v>
      </c>
      <c r="I33" s="18" t="s">
        <v>46</v>
      </c>
      <c r="J33" s="18" t="s">
        <v>46</v>
      </c>
      <c r="K33" s="18" t="s">
        <v>43</v>
      </c>
      <c r="L33" s="18" t="s">
        <v>45</v>
      </c>
      <c r="M33" s="18" t="s">
        <v>46</v>
      </c>
      <c r="N33" s="18" t="s">
        <v>44</v>
      </c>
      <c r="O33" s="18" t="s">
        <v>43</v>
      </c>
      <c r="P33" s="18" t="s">
        <v>44</v>
      </c>
      <c r="Q33" s="18" t="s">
        <v>46</v>
      </c>
      <c r="R33" s="18" t="s">
        <v>44</v>
      </c>
      <c r="S33" s="18" t="s">
        <v>46</v>
      </c>
      <c r="T33" s="18" t="s">
        <v>43</v>
      </c>
      <c r="U33" s="18" t="s">
        <v>43</v>
      </c>
      <c r="V33" s="18" t="s">
        <v>43</v>
      </c>
      <c r="W33" s="18" t="s">
        <v>44</v>
      </c>
      <c r="X33" s="18" t="s">
        <v>46</v>
      </c>
      <c r="Y33" s="18" t="s">
        <v>44</v>
      </c>
      <c r="Z33" s="18" t="s">
        <v>44</v>
      </c>
      <c r="AA33" s="18" t="s">
        <v>43</v>
      </c>
      <c r="AB33" s="18" t="s">
        <v>45</v>
      </c>
      <c r="AC33" s="18" t="s">
        <v>45</v>
      </c>
      <c r="AD33" s="18" t="s">
        <v>46</v>
      </c>
      <c r="AE33" s="18" t="s">
        <v>45</v>
      </c>
      <c r="AF33" s="18" t="s">
        <v>45</v>
      </c>
      <c r="AG33" s="18" t="s">
        <v>44</v>
      </c>
      <c r="AH33" s="18" t="s">
        <v>46</v>
      </c>
    </row>
    <row r="34" ht="24.0" customHeight="1">
      <c r="A34" s="27">
        <v>2.024902591E9</v>
      </c>
      <c r="B34" s="23" t="s">
        <v>75</v>
      </c>
      <c r="C34" s="25" t="str">
        <f>IFERROR(__xludf.DUMMYFUNCTION("IFERROR(XLOOKUP(A34, IMPORTRANGE(""1dfbuNQ3U1XqtdPB70d4KK-T2neyc0ZV0mzl9Q33XU-4"", ""web!A:A""), IMPORTRANGE(""1dfbuNQ3U1XqtdPB70d4KK-T2neyc0ZV0mzl9Q33XU-4"", ""web!B:B"")), """")"),"刘晶鑫")</f>
        <v>刘晶鑫</v>
      </c>
      <c r="D34" s="15">
        <f>IF(UPPER(E34)=UPPER(E5),E4,0)+IF(UPPER(F34)=UPPER(F5),F4,0)+IF(UPPER(G34)=UPPER(G5),G4,0)+IF(UPPER(H34)=UPPER(H5),H4,0)+IF(UPPER(I34)=UPPER(I5),I4,0)+IF(UPPER(J34)=UPPER(J5),J4,0)+IF(UPPER(K34)=UPPER(K5),K4,0)+IF(UPPER(L34)=UPPER(L5),L4,0)+IF(UPPER(M34)=UPPER(M5),M4,0)+IF(UPPER(N34)=UPPER(N5),N4,0)+IF(UPPER(O34)=UPPER(O5),O4,0)+IF(UPPER(P34)=UPPER(P5),P4,0)+IF(UPPER(Q34)=UPPER(Q5),Q4,0)+IF(UPPER(R34)=UPPER(R5),R4,0)+IF(UPPER(S34)=UPPER(S5),S4,0)+IF(UPPER(T34)=UPPER(T5),T4,0)+IF(UPPER(U34)=UPPER(U5),U4,0)+IF(UPPER(V34)=UPPER(V5),V4,0)+IF(UPPER(W34)=UPPER(W5),W4,0)+IF(UPPER(X34)=UPPER(X5),X4,0)+IF(UPPER(Y34)=UPPER(Y5),Y4,0)+IF(UPPER(Z34)=UPPER(Z5),Z4,0)+IF(UPPER(AA34)=UPPER(AA5),AA4,0)+IF(UPPER(AB34)=UPPER(AB5),AB4,0)+IF(UPPER(AC34)=UPPER(AC5),AC4,0)+IF(UPPER(AD34)=UPPER(AD5),AD4,0)+IF(UPPER(AE34)=UPPER(AE5),AE4,0)+IF(UPPER(AF34)=UPPER(AF5),AF4,0)+IF(UPPER(AG34)=UPPER(AG5),AG4,0)+IF(UPPER(AH34)=UPPER(AH5),AH4,0)</f>
        <v>79</v>
      </c>
      <c r="E34" s="13" t="s">
        <v>43</v>
      </c>
      <c r="F34" s="13" t="s">
        <v>44</v>
      </c>
      <c r="G34" s="13" t="s">
        <v>43</v>
      </c>
      <c r="H34" s="13" t="s">
        <v>45</v>
      </c>
      <c r="I34" s="13" t="s">
        <v>46</v>
      </c>
      <c r="J34" s="13" t="s">
        <v>44</v>
      </c>
      <c r="K34" s="13" t="s">
        <v>43</v>
      </c>
      <c r="L34" s="13" t="s">
        <v>45</v>
      </c>
      <c r="M34" s="13" t="s">
        <v>46</v>
      </c>
      <c r="N34" s="13" t="s">
        <v>44</v>
      </c>
      <c r="O34" s="13" t="s">
        <v>43</v>
      </c>
      <c r="P34" s="13" t="s">
        <v>43</v>
      </c>
      <c r="Q34" s="13" t="s">
        <v>46</v>
      </c>
      <c r="R34" s="13" t="s">
        <v>44</v>
      </c>
      <c r="S34" s="13" t="s">
        <v>44</v>
      </c>
      <c r="T34" s="13" t="s">
        <v>45</v>
      </c>
      <c r="U34" s="13" t="s">
        <v>46</v>
      </c>
      <c r="V34" s="13" t="s">
        <v>44</v>
      </c>
      <c r="W34" s="13" t="s">
        <v>43</v>
      </c>
      <c r="X34" s="13" t="s">
        <v>43</v>
      </c>
      <c r="Y34" s="13" t="s">
        <v>43</v>
      </c>
      <c r="Z34" s="13" t="s">
        <v>44</v>
      </c>
      <c r="AA34" s="13" t="s">
        <v>43</v>
      </c>
      <c r="AB34" s="13" t="s">
        <v>45</v>
      </c>
      <c r="AC34" s="13" t="s">
        <v>46</v>
      </c>
      <c r="AD34" s="13" t="s">
        <v>44</v>
      </c>
      <c r="AE34" s="13" t="s">
        <v>43</v>
      </c>
      <c r="AF34" s="13" t="s">
        <v>45</v>
      </c>
      <c r="AG34" s="13" t="s">
        <v>46</v>
      </c>
      <c r="AH34" s="13" t="s">
        <v>45</v>
      </c>
    </row>
    <row r="35" ht="24.0" customHeight="1">
      <c r="A35" s="27">
        <v>2.024903382E9</v>
      </c>
      <c r="B35" s="23" t="s">
        <v>76</v>
      </c>
      <c r="C35" s="24" t="str">
        <f>IFERROR(__xludf.DUMMYFUNCTION("IFERROR(XLOOKUP(A35, IMPORTRANGE(""1dfbuNQ3U1XqtdPB70d4KK-T2neyc0ZV0mzl9Q33XU-4"", ""web!A:A""), IMPORTRANGE(""1dfbuNQ3U1XqtdPB70d4KK-T2neyc0ZV0mzl9Q33XU-4"", ""web!B:B"")), """")"),"刘奕嘉")</f>
        <v>刘奕嘉</v>
      </c>
      <c r="D35" s="17">
        <f>IF(UPPER(E35)=UPPER(E5),E4,0)+IF(UPPER(F35)=UPPER(F5),F4,0)+IF(UPPER(G35)=UPPER(G5),G4,0)+IF(UPPER(H35)=UPPER(H5),H4,0)+IF(UPPER(I35)=UPPER(I5),I4,0)+IF(UPPER(J35)=UPPER(J5),J4,0)+IF(UPPER(K35)=UPPER(K5),K4,0)+IF(UPPER(L35)=UPPER(L5),L4,0)+IF(UPPER(M35)=UPPER(M5),M4,0)+IF(UPPER(N35)=UPPER(N5),N4,0)+IF(UPPER(O35)=UPPER(O5),O4,0)+IF(UPPER(P35)=UPPER(P5),P4,0)+IF(UPPER(Q35)=UPPER(Q5),Q4,0)+IF(UPPER(R35)=UPPER(R5),R4,0)+IF(UPPER(S35)=UPPER(S5),S4,0)+IF(UPPER(T35)=UPPER(T5),T4,0)+IF(UPPER(U35)=UPPER(U5),U4,0)+IF(UPPER(V35)=UPPER(V5),V4,0)+IF(UPPER(W35)=UPPER(W5),W4,0)+IF(UPPER(X35)=UPPER(X5),X4,0)+IF(UPPER(Y35)=UPPER(Y5),Y4,0)+IF(UPPER(Z35)=UPPER(Z5),Z4,0)+IF(UPPER(AA35)=UPPER(AA5),AA4,0)+IF(UPPER(AB35)=UPPER(AB5),AB4,0)+IF(UPPER(AC35)=UPPER(AC5),AC4,0)+IF(UPPER(AD35)=UPPER(AD5),AD4,0)+IF(UPPER(AE35)=UPPER(AE5),AE4,0)+IF(UPPER(AF35)=UPPER(AF5),AF4,0)+IF(UPPER(AG35)=UPPER(AG5),AG4,0)+IF(UPPER(AH35)=UPPER(AH5),AH4,0)</f>
        <v>52</v>
      </c>
      <c r="E35" s="18" t="s">
        <v>43</v>
      </c>
      <c r="F35" s="18" t="s">
        <v>44</v>
      </c>
      <c r="G35" s="18" t="s">
        <v>43</v>
      </c>
      <c r="H35" s="18" t="s">
        <v>45</v>
      </c>
      <c r="I35" s="18" t="s">
        <v>46</v>
      </c>
      <c r="J35" s="18" t="s">
        <v>46</v>
      </c>
      <c r="K35" s="18" t="s">
        <v>43</v>
      </c>
      <c r="L35" s="18" t="s">
        <v>45</v>
      </c>
      <c r="M35" s="18" t="s">
        <v>46</v>
      </c>
      <c r="N35" s="18" t="s">
        <v>46</v>
      </c>
      <c r="O35" s="18" t="s">
        <v>43</v>
      </c>
      <c r="P35" s="18" t="s">
        <v>46</v>
      </c>
      <c r="Q35" s="18" t="s">
        <v>46</v>
      </c>
      <c r="R35" s="18" t="s">
        <v>44</v>
      </c>
      <c r="S35" s="18" t="s">
        <v>43</v>
      </c>
      <c r="T35" s="18" t="s">
        <v>43</v>
      </c>
      <c r="U35" s="18" t="s">
        <v>43</v>
      </c>
      <c r="V35" s="18" t="s">
        <v>44</v>
      </c>
      <c r="W35" s="18" t="s">
        <v>43</v>
      </c>
      <c r="X35" s="18" t="s">
        <v>46</v>
      </c>
      <c r="Y35" s="18" t="s">
        <v>44</v>
      </c>
      <c r="Z35" s="18" t="s">
        <v>46</v>
      </c>
      <c r="AA35" s="18" t="s">
        <v>43</v>
      </c>
      <c r="AB35" s="18" t="s">
        <v>45</v>
      </c>
      <c r="AC35" s="18" t="s">
        <v>44</v>
      </c>
      <c r="AD35" s="18" t="s">
        <v>46</v>
      </c>
      <c r="AE35" s="18" t="s">
        <v>43</v>
      </c>
      <c r="AF35" s="18" t="s">
        <v>44</v>
      </c>
      <c r="AG35" s="18" t="s">
        <v>44</v>
      </c>
      <c r="AH35" s="18" t="s">
        <v>46</v>
      </c>
    </row>
    <row r="36" ht="24.0" customHeight="1">
      <c r="A36" s="27">
        <v>2.024903034E9</v>
      </c>
      <c r="B36" s="23" t="s">
        <v>77</v>
      </c>
      <c r="C36" s="25" t="str">
        <f>IFERROR(__xludf.DUMMYFUNCTION("IFERROR(XLOOKUP(A36, IMPORTRANGE(""1dfbuNQ3U1XqtdPB70d4KK-T2neyc0ZV0mzl9Q33XU-4"", ""web!A:A""), IMPORTRANGE(""1dfbuNQ3U1XqtdPB70d4KK-T2neyc0ZV0mzl9Q33XU-4"", ""web!B:B"")), """")"),"吴铠")</f>
        <v>吴铠</v>
      </c>
      <c r="D36" s="15">
        <f>IF(UPPER(E36)=UPPER(E5),E4,0)+IF(UPPER(F36)=UPPER(F5),F4,0)+IF(UPPER(G36)=UPPER(G5),G4,0)+IF(UPPER(H36)=UPPER(H5),H4,0)+IF(UPPER(I36)=UPPER(I5),I4,0)+IF(UPPER(J36)=UPPER(J5),J4,0)+IF(UPPER(K36)=UPPER(K5),K4,0)+IF(UPPER(L36)=UPPER(L5),L4,0)+IF(UPPER(M36)=UPPER(M5),M4,0)+IF(UPPER(N36)=UPPER(N5),N4,0)+IF(UPPER(O36)=UPPER(O5),O4,0)+IF(UPPER(P36)=UPPER(P5),P4,0)+IF(UPPER(Q36)=UPPER(Q5),Q4,0)+IF(UPPER(R36)=UPPER(R5),R4,0)+IF(UPPER(S36)=UPPER(S5),S4,0)+IF(UPPER(T36)=UPPER(T5),T4,0)+IF(UPPER(U36)=UPPER(U5),U4,0)+IF(UPPER(V36)=UPPER(V5),V4,0)+IF(UPPER(W36)=UPPER(W5),W4,0)+IF(UPPER(X36)=UPPER(X5),X4,0)+IF(UPPER(Y36)=UPPER(Y5),Y4,0)+IF(UPPER(Z36)=UPPER(Z5),Z4,0)+IF(UPPER(AA36)=UPPER(AA5),AA4,0)+IF(UPPER(AB36)=UPPER(AB5),AB4,0)+IF(UPPER(AC36)=UPPER(AC5),AC4,0)+IF(UPPER(AD36)=UPPER(AD5),AD4,0)+IF(UPPER(AE36)=UPPER(AE5),AE4,0)+IF(UPPER(AF36)=UPPER(AF5),AF4,0)+IF(UPPER(AG36)=UPPER(AG5),AG4,0)+IF(UPPER(AH36)=UPPER(AH5),AH4,0)</f>
        <v>67</v>
      </c>
      <c r="E36" s="13" t="s">
        <v>46</v>
      </c>
      <c r="F36" s="13" t="s">
        <v>44</v>
      </c>
      <c r="G36" s="13" t="s">
        <v>43</v>
      </c>
      <c r="H36" s="13" t="s">
        <v>45</v>
      </c>
      <c r="I36" s="13" t="s">
        <v>46</v>
      </c>
      <c r="J36" s="13" t="s">
        <v>46</v>
      </c>
      <c r="K36" s="13" t="s">
        <v>43</v>
      </c>
      <c r="L36" s="13" t="s">
        <v>45</v>
      </c>
      <c r="M36" s="13" t="s">
        <v>46</v>
      </c>
      <c r="N36" s="13" t="s">
        <v>46</v>
      </c>
      <c r="O36" s="13" t="s">
        <v>44</v>
      </c>
      <c r="P36" s="13" t="s">
        <v>46</v>
      </c>
      <c r="Q36" s="13" t="s">
        <v>46</v>
      </c>
      <c r="R36" s="13" t="s">
        <v>44</v>
      </c>
      <c r="S36" s="13" t="s">
        <v>43</v>
      </c>
      <c r="T36" s="13" t="s">
        <v>43</v>
      </c>
      <c r="U36" s="13" t="s">
        <v>46</v>
      </c>
      <c r="V36" s="13" t="s">
        <v>44</v>
      </c>
      <c r="W36" s="13" t="s">
        <v>43</v>
      </c>
      <c r="X36" s="13" t="s">
        <v>43</v>
      </c>
      <c r="Y36" s="13" t="s">
        <v>44</v>
      </c>
      <c r="Z36" s="13" t="s">
        <v>44</v>
      </c>
      <c r="AA36" s="13" t="s">
        <v>43</v>
      </c>
      <c r="AB36" s="13" t="s">
        <v>45</v>
      </c>
      <c r="AC36" s="13" t="s">
        <v>45</v>
      </c>
      <c r="AD36" s="13" t="s">
        <v>46</v>
      </c>
      <c r="AE36" s="13" t="s">
        <v>46</v>
      </c>
      <c r="AF36" s="13" t="s">
        <v>45</v>
      </c>
      <c r="AG36" s="13" t="s">
        <v>46</v>
      </c>
      <c r="AH36" s="13" t="s">
        <v>44</v>
      </c>
    </row>
    <row r="37" ht="24.0" customHeight="1">
      <c r="A37" s="27">
        <v>2.024903531E9</v>
      </c>
      <c r="B37" s="23" t="s">
        <v>78</v>
      </c>
      <c r="C37" s="24" t="str">
        <f>IFERROR(__xludf.DUMMYFUNCTION("IFERROR(XLOOKUP(A37, IMPORTRANGE(""1dfbuNQ3U1XqtdPB70d4KK-T2neyc0ZV0mzl9Q33XU-4"", ""web!A:A""), IMPORTRANGE(""1dfbuNQ3U1XqtdPB70d4KK-T2neyc0ZV0mzl9Q33XU-4"", ""web!B:B"")), """")"),"何贵霖")</f>
        <v>何贵霖</v>
      </c>
      <c r="D37" s="17">
        <f>IF(UPPER(E37)=UPPER(E5),E4,0)+IF(UPPER(F37)=UPPER(F5),F4,0)+IF(UPPER(G37)=UPPER(G5),G4,0)+IF(UPPER(H37)=UPPER(H5),H4,0)+IF(UPPER(I37)=UPPER(I5),I4,0)+IF(UPPER(J37)=UPPER(J5),J4,0)+IF(UPPER(K37)=UPPER(K5),K4,0)+IF(UPPER(L37)=UPPER(L5),L4,0)+IF(UPPER(M37)=UPPER(M5),M4,0)+IF(UPPER(N37)=UPPER(N5),N4,0)+IF(UPPER(O37)=UPPER(O5),O4,0)+IF(UPPER(P37)=UPPER(P5),P4,0)+IF(UPPER(Q37)=UPPER(Q5),Q4,0)+IF(UPPER(R37)=UPPER(R5),R4,0)+IF(UPPER(S37)=UPPER(S5),S4,0)+IF(UPPER(T37)=UPPER(T5),T4,0)+IF(UPPER(U37)=UPPER(U5),U4,0)+IF(UPPER(V37)=UPPER(V5),V4,0)+IF(UPPER(W37)=UPPER(W5),W4,0)+IF(UPPER(X37)=UPPER(X5),X4,0)+IF(UPPER(Y37)=UPPER(Y5),Y4,0)+IF(UPPER(Z37)=UPPER(Z5),Z4,0)+IF(UPPER(AA37)=UPPER(AA5),AA4,0)+IF(UPPER(AB37)=UPPER(AB5),AB4,0)+IF(UPPER(AC37)=UPPER(AC5),AC4,0)+IF(UPPER(AD37)=UPPER(AD5),AD4,0)+IF(UPPER(AE37)=UPPER(AE5),AE4,0)+IF(UPPER(AF37)=UPPER(AF5),AF4,0)+IF(UPPER(AG37)=UPPER(AG5),AG4,0)+IF(UPPER(AH37)=UPPER(AH5),AH4,0)</f>
        <v>0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</row>
    <row r="38" ht="24.0" customHeight="1">
      <c r="A38" s="27">
        <v>2.02490081E9</v>
      </c>
      <c r="B38" s="23" t="s">
        <v>79</v>
      </c>
      <c r="C38" s="25" t="str">
        <f>IFERROR(__xludf.DUMMYFUNCTION("IFERROR(XLOOKUP(A38, IMPORTRANGE(""1dfbuNQ3U1XqtdPB70d4KK-T2neyc0ZV0mzl9Q33XU-4"", ""web!A:A""), IMPORTRANGE(""1dfbuNQ3U1XqtdPB70d4KK-T2neyc0ZV0mzl9Q33XU-4"", ""web!B:B"")), """")"),"陈一涵")</f>
        <v>陈一涵</v>
      </c>
      <c r="D38" s="15">
        <f>IF(UPPER(E38)=UPPER(E5),E4,0)+IF(UPPER(F38)=UPPER(F5),F4,0)+IF(UPPER(G38)=UPPER(G5),G4,0)+IF(UPPER(H38)=UPPER(H5),H4,0)+IF(UPPER(I38)=UPPER(I5),I4,0)+IF(UPPER(J38)=UPPER(J5),J4,0)+IF(UPPER(K38)=UPPER(K5),K4,0)+IF(UPPER(L38)=UPPER(L5),L4,0)+IF(UPPER(M38)=UPPER(M5),M4,0)+IF(UPPER(N38)=UPPER(N5),N4,0)+IF(UPPER(O38)=UPPER(O5),O4,0)+IF(UPPER(P38)=UPPER(P5),P4,0)+IF(UPPER(Q38)=UPPER(Q5),Q4,0)+IF(UPPER(R38)=UPPER(R5),R4,0)+IF(UPPER(S38)=UPPER(S5),S4,0)+IF(UPPER(T38)=UPPER(T5),T4,0)+IF(UPPER(U38)=UPPER(U5),U4,0)+IF(UPPER(V38)=UPPER(V5),V4,0)+IF(UPPER(W38)=UPPER(W5),W4,0)+IF(UPPER(X38)=UPPER(X5),X4,0)+IF(UPPER(Y38)=UPPER(Y5),Y4,0)+IF(UPPER(Z38)=UPPER(Z5),Z4,0)+IF(UPPER(AA38)=UPPER(AA5),AA4,0)+IF(UPPER(AB38)=UPPER(AB5),AB4,0)+IF(UPPER(AC38)=UPPER(AC5),AC4,0)+IF(UPPER(AD38)=UPPER(AD5),AD4,0)+IF(UPPER(AE38)=UPPER(AE5),AE4,0)+IF(UPPER(AF38)=UPPER(AF5),AF4,0)+IF(UPPER(AG38)=UPPER(AG5),AG4,0)+IF(UPPER(AH38)=UPPER(AH5),AH4,0)</f>
        <v>52</v>
      </c>
      <c r="E38" s="13" t="s">
        <v>46</v>
      </c>
      <c r="F38" s="13" t="s">
        <v>44</v>
      </c>
      <c r="G38" s="13" t="s">
        <v>43</v>
      </c>
      <c r="H38" s="13" t="s">
        <v>45</v>
      </c>
      <c r="I38" s="13" t="s">
        <v>44</v>
      </c>
      <c r="J38" s="13" t="s">
        <v>43</v>
      </c>
      <c r="K38" s="13" t="s">
        <v>43</v>
      </c>
      <c r="L38" s="13" t="s">
        <v>45</v>
      </c>
      <c r="M38" s="13" t="s">
        <v>44</v>
      </c>
      <c r="N38" s="13" t="s">
        <v>45</v>
      </c>
      <c r="O38" s="13" t="s">
        <v>44</v>
      </c>
      <c r="P38" s="13" t="s">
        <v>44</v>
      </c>
      <c r="Q38" s="13" t="s">
        <v>44</v>
      </c>
      <c r="R38" s="13" t="s">
        <v>44</v>
      </c>
      <c r="S38" s="13" t="s">
        <v>43</v>
      </c>
      <c r="T38" s="13" t="s">
        <v>43</v>
      </c>
      <c r="U38" s="13" t="s">
        <v>43</v>
      </c>
      <c r="V38" s="13" t="s">
        <v>45</v>
      </c>
      <c r="W38" s="13" t="s">
        <v>43</v>
      </c>
      <c r="X38" s="13" t="s">
        <v>46</v>
      </c>
      <c r="Y38" s="13" t="s">
        <v>44</v>
      </c>
      <c r="Z38" s="13" t="s">
        <v>44</v>
      </c>
      <c r="AA38" s="13" t="s">
        <v>45</v>
      </c>
      <c r="AB38" s="13" t="s">
        <v>45</v>
      </c>
      <c r="AC38" s="13" t="s">
        <v>46</v>
      </c>
      <c r="AD38" s="13" t="s">
        <v>44</v>
      </c>
      <c r="AE38" s="13" t="s">
        <v>43</v>
      </c>
      <c r="AF38" s="13" t="s">
        <v>45</v>
      </c>
      <c r="AG38" s="13" t="s">
        <v>44</v>
      </c>
      <c r="AH38" s="13" t="s">
        <v>44</v>
      </c>
    </row>
    <row r="39" ht="24.0" customHeight="1">
      <c r="A39" s="27">
        <v>2.02490479E9</v>
      </c>
      <c r="B39" s="23" t="s">
        <v>80</v>
      </c>
      <c r="C39" s="24" t="str">
        <f>IFERROR(__xludf.DUMMYFUNCTION("IFERROR(XLOOKUP(A39, IMPORTRANGE(""1dfbuNQ3U1XqtdPB70d4KK-T2neyc0ZV0mzl9Q33XU-4"", ""web!A:A""), IMPORTRANGE(""1dfbuNQ3U1XqtdPB70d4KK-T2neyc0ZV0mzl9Q33XU-4"", ""web!B:B"")), """")"),"王恩奇")</f>
        <v>王恩奇</v>
      </c>
      <c r="D39" s="17">
        <f>IF(UPPER(E39)=UPPER(E5),E4,0)+IF(UPPER(F39)=UPPER(F5),F4,0)+IF(UPPER(G39)=UPPER(G5),G4,0)+IF(UPPER(H39)=UPPER(H5),H4,0)+IF(UPPER(I39)=UPPER(I5),I4,0)+IF(UPPER(J39)=UPPER(J5),J4,0)+IF(UPPER(K39)=UPPER(K5),K4,0)+IF(UPPER(L39)=UPPER(L5),L4,0)+IF(UPPER(M39)=UPPER(M5),M4,0)+IF(UPPER(N39)=UPPER(N5),N4,0)+IF(UPPER(O39)=UPPER(O5),O4,0)+IF(UPPER(P39)=UPPER(P5),P4,0)+IF(UPPER(Q39)=UPPER(Q5),Q4,0)+IF(UPPER(R39)=UPPER(R5),R4,0)+IF(UPPER(S39)=UPPER(S5),S4,0)+IF(UPPER(T39)=UPPER(T5),T4,0)+IF(UPPER(U39)=UPPER(U5),U4,0)+IF(UPPER(V39)=UPPER(V5),V4,0)+IF(UPPER(W39)=UPPER(W5),W4,0)+IF(UPPER(X39)=UPPER(X5),X4,0)+IF(UPPER(Y39)=UPPER(Y5),Y4,0)+IF(UPPER(Z39)=UPPER(Z5),Z4,0)+IF(UPPER(AA39)=UPPER(AA5),AA4,0)+IF(UPPER(AB39)=UPPER(AB5),AB4,0)+IF(UPPER(AC39)=UPPER(AC5),AC4,0)+IF(UPPER(AD39)=UPPER(AD5),AD4,0)+IF(UPPER(AE39)=UPPER(AE5),AE4,0)+IF(UPPER(AF39)=UPPER(AF5),AF4,0)+IF(UPPER(AG39)=UPPER(AG5),AG4,0)+IF(UPPER(AH39)=UPPER(AH5),AH4,0)</f>
        <v>65</v>
      </c>
      <c r="E39" s="18" t="s">
        <v>46</v>
      </c>
      <c r="F39" s="18" t="s">
        <v>44</v>
      </c>
      <c r="G39" s="18" t="s">
        <v>43</v>
      </c>
      <c r="H39" s="18" t="s">
        <v>45</v>
      </c>
      <c r="I39" s="18" t="s">
        <v>46</v>
      </c>
      <c r="J39" s="18" t="s">
        <v>46</v>
      </c>
      <c r="K39" s="18" t="s">
        <v>43</v>
      </c>
      <c r="L39" s="18" t="s">
        <v>45</v>
      </c>
      <c r="M39" s="18" t="s">
        <v>46</v>
      </c>
      <c r="N39" s="18" t="s">
        <v>44</v>
      </c>
      <c r="O39" s="18" t="s">
        <v>43</v>
      </c>
      <c r="P39" s="18" t="s">
        <v>46</v>
      </c>
      <c r="Q39" s="18" t="s">
        <v>46</v>
      </c>
      <c r="R39" s="18" t="s">
        <v>44</v>
      </c>
      <c r="S39" s="18" t="s">
        <v>43</v>
      </c>
      <c r="T39" s="18" t="s">
        <v>45</v>
      </c>
      <c r="U39" s="18" t="s">
        <v>43</v>
      </c>
      <c r="V39" s="18" t="s">
        <v>44</v>
      </c>
      <c r="W39" s="18" t="s">
        <v>43</v>
      </c>
      <c r="X39" s="18" t="s">
        <v>46</v>
      </c>
      <c r="Y39" s="18" t="s">
        <v>44</v>
      </c>
      <c r="Z39" s="18" t="s">
        <v>45</v>
      </c>
      <c r="AA39" s="18" t="s">
        <v>43</v>
      </c>
      <c r="AB39" s="18" t="s">
        <v>45</v>
      </c>
      <c r="AC39" s="18" t="s">
        <v>44</v>
      </c>
      <c r="AD39" s="18" t="s">
        <v>46</v>
      </c>
      <c r="AE39" s="18" t="s">
        <v>43</v>
      </c>
      <c r="AF39" s="18" t="s">
        <v>45</v>
      </c>
      <c r="AG39" s="18" t="s">
        <v>44</v>
      </c>
      <c r="AH39" s="18" t="s">
        <v>46</v>
      </c>
    </row>
    <row r="40" ht="24.0" customHeight="1">
      <c r="A40" s="27">
        <v>2.024900796E9</v>
      </c>
      <c r="B40" s="23" t="s">
        <v>81</v>
      </c>
      <c r="C40" s="25" t="str">
        <f>IFERROR(__xludf.DUMMYFUNCTION("IFERROR(XLOOKUP(A40, IMPORTRANGE(""1dfbuNQ3U1XqtdPB70d4KK-T2neyc0ZV0mzl9Q33XU-4"", ""web!A:A""), IMPORTRANGE(""1dfbuNQ3U1XqtdPB70d4KK-T2neyc0ZV0mzl9Q33XU-4"", ""web!B:B"")), """")"),"张慧珍")</f>
        <v>张慧珍</v>
      </c>
      <c r="D40" s="15">
        <f>IF(UPPER(E40)=UPPER(E5),E4,0)+IF(UPPER(F40)=UPPER(F5),F4,0)+IF(UPPER(G40)=UPPER(G5),G4,0)+IF(UPPER(H40)=UPPER(H5),H4,0)+IF(UPPER(I40)=UPPER(I5),I4,0)+IF(UPPER(J40)=UPPER(J5),J4,0)+IF(UPPER(K40)=UPPER(K5),K4,0)+IF(UPPER(L40)=UPPER(L5),L4,0)+IF(UPPER(M40)=UPPER(M5),M4,0)+IF(UPPER(N40)=UPPER(N5),N4,0)+IF(UPPER(O40)=UPPER(O5),O4,0)+IF(UPPER(P40)=UPPER(P5),P4,0)+IF(UPPER(Q40)=UPPER(Q5),Q4,0)+IF(UPPER(R40)=UPPER(R5),R4,0)+IF(UPPER(S40)=UPPER(S5),S4,0)+IF(UPPER(T40)=UPPER(T5),T4,0)+IF(UPPER(U40)=UPPER(U5),U4,0)+IF(UPPER(V40)=UPPER(V5),V4,0)+IF(UPPER(W40)=UPPER(W5),W4,0)+IF(UPPER(X40)=UPPER(X5),X4,0)+IF(UPPER(Y40)=UPPER(Y5),Y4,0)+IF(UPPER(Z40)=UPPER(Z5),Z4,0)+IF(UPPER(AA40)=UPPER(AA5),AA4,0)+IF(UPPER(AB40)=UPPER(AB5),AB4,0)+IF(UPPER(AC40)=UPPER(AC5),AC4,0)+IF(UPPER(AD40)=UPPER(AD5),AD4,0)+IF(UPPER(AE40)=UPPER(AE5),AE4,0)+IF(UPPER(AF40)=UPPER(AF5),AF4,0)+IF(UPPER(AG40)=UPPER(AG5),AG4,0)+IF(UPPER(AH40)=UPPER(AH5),AH4,0)</f>
        <v>60</v>
      </c>
      <c r="E40" s="13" t="s">
        <v>46</v>
      </c>
      <c r="F40" s="13" t="s">
        <v>44</v>
      </c>
      <c r="G40" s="13" t="s">
        <v>46</v>
      </c>
      <c r="H40" s="13" t="s">
        <v>45</v>
      </c>
      <c r="I40" s="13" t="s">
        <v>46</v>
      </c>
      <c r="J40" s="13" t="s">
        <v>46</v>
      </c>
      <c r="K40" s="13" t="s">
        <v>43</v>
      </c>
      <c r="L40" s="13" t="s">
        <v>45</v>
      </c>
      <c r="M40" s="13" t="s">
        <v>44</v>
      </c>
      <c r="N40" s="13" t="s">
        <v>44</v>
      </c>
      <c r="O40" s="13" t="s">
        <v>46</v>
      </c>
      <c r="P40" s="13" t="s">
        <v>46</v>
      </c>
      <c r="Q40" s="13" t="s">
        <v>45</v>
      </c>
      <c r="R40" s="13" t="s">
        <v>44</v>
      </c>
      <c r="S40" s="13" t="s">
        <v>43</v>
      </c>
      <c r="T40" s="13" t="s">
        <v>43</v>
      </c>
      <c r="U40" s="13" t="s">
        <v>43</v>
      </c>
      <c r="V40" s="13" t="s">
        <v>44</v>
      </c>
      <c r="W40" s="13" t="s">
        <v>43</v>
      </c>
      <c r="X40" s="13" t="s">
        <v>46</v>
      </c>
      <c r="Y40" s="13" t="s">
        <v>46</v>
      </c>
      <c r="Z40" s="13" t="s">
        <v>44</v>
      </c>
      <c r="AA40" s="13" t="s">
        <v>44</v>
      </c>
      <c r="AB40" s="13" t="s">
        <v>45</v>
      </c>
      <c r="AC40" s="13" t="s">
        <v>45</v>
      </c>
      <c r="AD40" s="13" t="s">
        <v>46</v>
      </c>
      <c r="AE40" s="13" t="s">
        <v>43</v>
      </c>
      <c r="AF40" s="13" t="s">
        <v>45</v>
      </c>
      <c r="AG40" s="13" t="s">
        <v>46</v>
      </c>
      <c r="AH40" s="13" t="s">
        <v>44</v>
      </c>
    </row>
    <row r="41" ht="24.0" customHeight="1">
      <c r="A41" s="27">
        <v>2.024904788E9</v>
      </c>
      <c r="B41" s="23" t="s">
        <v>82</v>
      </c>
      <c r="C41" s="24" t="str">
        <f>IFERROR(__xludf.DUMMYFUNCTION("IFERROR(XLOOKUP(A41, IMPORTRANGE(""1dfbuNQ3U1XqtdPB70d4KK-T2neyc0ZV0mzl9Q33XU-4"", ""web!A:A""), IMPORTRANGE(""1dfbuNQ3U1XqtdPB70d4KK-T2neyc0ZV0mzl9Q33XU-4"", ""web!B:B"")), """")"),"杨德洲")</f>
        <v>杨德洲</v>
      </c>
      <c r="D41" s="17">
        <f>IF(UPPER(E41)=UPPER(E5),E4,0)+IF(UPPER(F41)=UPPER(F5),F4,0)+IF(UPPER(G41)=UPPER(G5),G4,0)+IF(UPPER(H41)=UPPER(H5),H4,0)+IF(UPPER(I41)=UPPER(I5),I4,0)+IF(UPPER(J41)=UPPER(J5),J4,0)+IF(UPPER(K41)=UPPER(K5),K4,0)+IF(UPPER(L41)=UPPER(L5),L4,0)+IF(UPPER(M41)=UPPER(M5),M4,0)+IF(UPPER(N41)=UPPER(N5),N4,0)+IF(UPPER(O41)=UPPER(O5),O4,0)+IF(UPPER(P41)=UPPER(P5),P4,0)+IF(UPPER(Q41)=UPPER(Q5),Q4,0)+IF(UPPER(R41)=UPPER(R5),R4,0)+IF(UPPER(S41)=UPPER(S5),S4,0)+IF(UPPER(T41)=UPPER(T5),T4,0)+IF(UPPER(U41)=UPPER(U5),U4,0)+IF(UPPER(V41)=UPPER(V5),V4,0)+IF(UPPER(W41)=UPPER(W5),W4,0)+IF(UPPER(X41)=UPPER(X5),X4,0)+IF(UPPER(Y41)=UPPER(Y5),Y4,0)+IF(UPPER(Z41)=UPPER(Z5),Z4,0)+IF(UPPER(AA41)=UPPER(AA5),AA4,0)+IF(UPPER(AB41)=UPPER(AB5),AB4,0)+IF(UPPER(AC41)=UPPER(AC5),AC4,0)+IF(UPPER(AD41)=UPPER(AD5),AD4,0)+IF(UPPER(AE41)=UPPER(AE5),AE4,0)+IF(UPPER(AF41)=UPPER(AF5),AF4,0)+IF(UPPER(AG41)=UPPER(AG5),AG4,0)+IF(UPPER(AH41)=UPPER(AH5),AH4,0)</f>
        <v>44</v>
      </c>
      <c r="E41" s="18" t="s">
        <v>43</v>
      </c>
      <c r="F41" s="18" t="s">
        <v>44</v>
      </c>
      <c r="G41" s="18" t="s">
        <v>44</v>
      </c>
      <c r="H41" s="18" t="s">
        <v>45</v>
      </c>
      <c r="I41" s="18" t="s">
        <v>46</v>
      </c>
      <c r="J41" s="18" t="s">
        <v>46</v>
      </c>
      <c r="K41" s="18" t="s">
        <v>43</v>
      </c>
      <c r="L41" s="18" t="s">
        <v>45</v>
      </c>
      <c r="M41" s="18" t="s">
        <v>46</v>
      </c>
      <c r="N41" s="18" t="s">
        <v>46</v>
      </c>
      <c r="O41" s="18" t="s">
        <v>43</v>
      </c>
      <c r="P41" s="18" t="s">
        <v>46</v>
      </c>
      <c r="Q41" s="18" t="s">
        <v>43</v>
      </c>
      <c r="R41" s="18" t="s">
        <v>44</v>
      </c>
      <c r="S41" s="18" t="s">
        <v>43</v>
      </c>
      <c r="T41" s="18" t="s">
        <v>46</v>
      </c>
      <c r="U41" s="18" t="s">
        <v>43</v>
      </c>
      <c r="V41" s="18" t="s">
        <v>43</v>
      </c>
      <c r="W41" s="18" t="s">
        <v>44</v>
      </c>
      <c r="X41" s="18" t="s">
        <v>46</v>
      </c>
      <c r="Y41" s="18" t="s">
        <v>44</v>
      </c>
      <c r="Z41" s="18" t="s">
        <v>44</v>
      </c>
      <c r="AA41" s="18" t="s">
        <v>44</v>
      </c>
      <c r="AB41" s="18" t="s">
        <v>45</v>
      </c>
      <c r="AC41" s="18" t="s">
        <v>44</v>
      </c>
      <c r="AD41" s="18" t="s">
        <v>44</v>
      </c>
      <c r="AE41" s="18" t="s">
        <v>43</v>
      </c>
      <c r="AF41" s="18" t="s">
        <v>45</v>
      </c>
      <c r="AG41" s="18" t="s">
        <v>44</v>
      </c>
      <c r="AH41" s="18" t="s">
        <v>45</v>
      </c>
    </row>
    <row r="42" ht="24.0" customHeight="1">
      <c r="A42" s="27">
        <v>2.024900801E9</v>
      </c>
      <c r="B42" s="23" t="s">
        <v>83</v>
      </c>
      <c r="C42" s="25" t="str">
        <f>IFERROR(__xludf.DUMMYFUNCTION("IFERROR(XLOOKUP(A42, IMPORTRANGE(""1dfbuNQ3U1XqtdPB70d4KK-T2neyc0ZV0mzl9Q33XU-4"", ""web!A:A""), IMPORTRANGE(""1dfbuNQ3U1XqtdPB70d4KK-T2neyc0ZV0mzl9Q33XU-4"", ""web!B:B"")), """")"),"温箬瑄")</f>
        <v>温箬瑄</v>
      </c>
      <c r="D42" s="15">
        <f>IF(UPPER(E42)=UPPER(E5),E4,0)+IF(UPPER(F42)=UPPER(F5),F4,0)+IF(UPPER(G42)=UPPER(G5),G4,0)+IF(UPPER(H42)=UPPER(H5),H4,0)+IF(UPPER(I42)=UPPER(I5),I4,0)+IF(UPPER(J42)=UPPER(J5),J4,0)+IF(UPPER(K42)=UPPER(K5),K4,0)+IF(UPPER(L42)=UPPER(L5),L4,0)+IF(UPPER(M42)=UPPER(M5),M4,0)+IF(UPPER(N42)=UPPER(N5),N4,0)+IF(UPPER(O42)=UPPER(O5),O4,0)+IF(UPPER(P42)=UPPER(P5),P4,0)+IF(UPPER(Q42)=UPPER(Q5),Q4,0)+IF(UPPER(R42)=UPPER(R5),R4,0)+IF(UPPER(S42)=UPPER(S5),S4,0)+IF(UPPER(T42)=UPPER(T5),T4,0)+IF(UPPER(U42)=UPPER(U5),U4,0)+IF(UPPER(V42)=UPPER(V5),V4,0)+IF(UPPER(W42)=UPPER(W5),W4,0)+IF(UPPER(X42)=UPPER(X5),X4,0)+IF(UPPER(Y42)=UPPER(Y5),Y4,0)+IF(UPPER(Z42)=UPPER(Z5),Z4,0)+IF(UPPER(AA42)=UPPER(AA5),AA4,0)+IF(UPPER(AB42)=UPPER(AB5),AB4,0)+IF(UPPER(AC42)=UPPER(AC5),AC4,0)+IF(UPPER(AD42)=UPPER(AD5),AD4,0)+IF(UPPER(AE42)=UPPER(AE5),AE4,0)+IF(UPPER(AF42)=UPPER(AF5),AF4,0)+IF(UPPER(AG42)=UPPER(AG5),AG4,0)+IF(UPPER(AH42)=UPPER(AH5),AH4,0)</f>
        <v>42</v>
      </c>
      <c r="E42" s="13" t="s">
        <v>43</v>
      </c>
      <c r="F42" s="13" t="s">
        <v>44</v>
      </c>
      <c r="G42" s="13" t="s">
        <v>45</v>
      </c>
      <c r="H42" s="13" t="s">
        <v>45</v>
      </c>
      <c r="I42" s="13" t="s">
        <v>46</v>
      </c>
      <c r="J42" s="13" t="s">
        <v>46</v>
      </c>
      <c r="K42" s="13" t="s">
        <v>43</v>
      </c>
      <c r="L42" s="13" t="s">
        <v>45</v>
      </c>
      <c r="M42" s="13" t="s">
        <v>46</v>
      </c>
      <c r="N42" s="13" t="s">
        <v>44</v>
      </c>
      <c r="O42" s="13" t="s">
        <v>44</v>
      </c>
      <c r="P42" s="13" t="s">
        <v>46</v>
      </c>
      <c r="Q42" s="13" t="s">
        <v>44</v>
      </c>
      <c r="R42" s="13" t="s">
        <v>44</v>
      </c>
      <c r="S42" s="13" t="s">
        <v>43</v>
      </c>
      <c r="T42" s="13" t="s">
        <v>46</v>
      </c>
      <c r="U42" s="13" t="s">
        <v>43</v>
      </c>
      <c r="V42" s="13" t="s">
        <v>45</v>
      </c>
      <c r="W42" s="13" t="s">
        <v>43</v>
      </c>
      <c r="X42" s="13" t="s">
        <v>46</v>
      </c>
      <c r="Y42" s="13" t="s">
        <v>44</v>
      </c>
      <c r="Z42" s="13" t="s">
        <v>46</v>
      </c>
      <c r="AA42" s="13" t="s">
        <v>45</v>
      </c>
      <c r="AB42" s="13" t="s">
        <v>45</v>
      </c>
      <c r="AC42" s="13" t="s">
        <v>46</v>
      </c>
      <c r="AD42" s="13" t="s">
        <v>46</v>
      </c>
      <c r="AE42" s="13" t="s">
        <v>45</v>
      </c>
      <c r="AF42" s="13" t="s">
        <v>45</v>
      </c>
      <c r="AG42" s="13" t="s">
        <v>44</v>
      </c>
      <c r="AH42" s="13" t="s">
        <v>46</v>
      </c>
    </row>
    <row r="43" ht="24.0" customHeight="1">
      <c r="A43" s="27">
        <v>2.024903534E9</v>
      </c>
      <c r="B43" s="23" t="s">
        <v>84</v>
      </c>
      <c r="C43" s="24" t="str">
        <f>IFERROR(__xludf.DUMMYFUNCTION("IFERROR(XLOOKUP(A43, IMPORTRANGE(""1dfbuNQ3U1XqtdPB70d4KK-T2neyc0ZV0mzl9Q33XU-4"", ""web!A:A""), IMPORTRANGE(""1dfbuNQ3U1XqtdPB70d4KK-T2neyc0ZV0mzl9Q33XU-4"", ""web!B:B"")), """")"),"钟俊杰")</f>
        <v>钟俊杰</v>
      </c>
      <c r="D43" s="17">
        <f>IF(UPPER(E43)=UPPER(E5),E4,0)+IF(UPPER(F43)=UPPER(F5),F4,0)+IF(UPPER(G43)=UPPER(G5),G4,0)+IF(UPPER(H43)=UPPER(H5),H4,0)+IF(UPPER(I43)=UPPER(I5),I4,0)+IF(UPPER(J43)=UPPER(J5),J4,0)+IF(UPPER(K43)=UPPER(K5),K4,0)+IF(UPPER(L43)=UPPER(L5),L4,0)+IF(UPPER(M43)=UPPER(M5),M4,0)+IF(UPPER(N43)=UPPER(N5),N4,0)+IF(UPPER(O43)=UPPER(O5),O4,0)+IF(UPPER(P43)=UPPER(P5),P4,0)+IF(UPPER(Q43)=UPPER(Q5),Q4,0)+IF(UPPER(R43)=UPPER(R5),R4,0)+IF(UPPER(S43)=UPPER(S5),S4,0)+IF(UPPER(T43)=UPPER(T5),T4,0)+IF(UPPER(U43)=UPPER(U5),U4,0)+IF(UPPER(V43)=UPPER(V5),V4,0)+IF(UPPER(W43)=UPPER(W5),W4,0)+IF(UPPER(X43)=UPPER(X5),X4,0)+IF(UPPER(Y43)=UPPER(Y5),Y4,0)+IF(UPPER(Z43)=UPPER(Z5),Z4,0)+IF(UPPER(AA43)=UPPER(AA5),AA4,0)+IF(UPPER(AB43)=UPPER(AB5),AB4,0)+IF(UPPER(AC43)=UPPER(AC5),AC4,0)+IF(UPPER(AD43)=UPPER(AD5),AD4,0)+IF(UPPER(AE43)=UPPER(AE5),AE4,0)+IF(UPPER(AF43)=UPPER(AF5),AF4,0)+IF(UPPER(AG43)=UPPER(AG5),AG4,0)+IF(UPPER(AH43)=UPPER(AH5),AH4,0)</f>
        <v>66</v>
      </c>
      <c r="E43" s="18" t="s">
        <v>43</v>
      </c>
      <c r="F43" s="18" t="s">
        <v>44</v>
      </c>
      <c r="G43" s="18" t="s">
        <v>43</v>
      </c>
      <c r="H43" s="18" t="s">
        <v>45</v>
      </c>
      <c r="I43" s="18" t="s">
        <v>46</v>
      </c>
      <c r="J43" s="18" t="s">
        <v>46</v>
      </c>
      <c r="K43" s="18" t="s">
        <v>43</v>
      </c>
      <c r="L43" s="18" t="s">
        <v>45</v>
      </c>
      <c r="M43" s="18" t="s">
        <v>45</v>
      </c>
      <c r="N43" s="18" t="s">
        <v>44</v>
      </c>
      <c r="O43" s="18" t="s">
        <v>43</v>
      </c>
      <c r="P43" s="18" t="s">
        <v>46</v>
      </c>
      <c r="Q43" s="18" t="s">
        <v>46</v>
      </c>
      <c r="R43" s="18" t="s">
        <v>44</v>
      </c>
      <c r="S43" s="18" t="s">
        <v>43</v>
      </c>
      <c r="T43" s="18" t="s">
        <v>46</v>
      </c>
      <c r="U43" s="18" t="s">
        <v>44</v>
      </c>
      <c r="V43" s="18" t="s">
        <v>44</v>
      </c>
      <c r="W43" s="18" t="s">
        <v>43</v>
      </c>
      <c r="X43" s="18" t="s">
        <v>46</v>
      </c>
      <c r="Y43" s="18" t="s">
        <v>44</v>
      </c>
      <c r="Z43" s="18" t="s">
        <v>44</v>
      </c>
      <c r="AA43" s="18" t="s">
        <v>43</v>
      </c>
      <c r="AB43" s="18" t="s">
        <v>45</v>
      </c>
      <c r="AC43" s="18" t="s">
        <v>46</v>
      </c>
      <c r="AD43" s="18" t="s">
        <v>44</v>
      </c>
      <c r="AE43" s="18" t="s">
        <v>43</v>
      </c>
      <c r="AF43" s="18" t="s">
        <v>45</v>
      </c>
      <c r="AG43" s="18" t="s">
        <v>44</v>
      </c>
      <c r="AH43" s="18" t="s">
        <v>46</v>
      </c>
    </row>
    <row r="44" ht="24.0" customHeight="1">
      <c r="A44" s="27">
        <v>2.024903383E9</v>
      </c>
      <c r="B44" s="23" t="s">
        <v>85</v>
      </c>
      <c r="C44" s="25" t="str">
        <f>IFERROR(__xludf.DUMMYFUNCTION("IFERROR(XLOOKUP(A44, IMPORTRANGE(""1dfbuNQ3U1XqtdPB70d4KK-T2neyc0ZV0mzl9Q33XU-4"", ""web!A:A""), IMPORTRANGE(""1dfbuNQ3U1XqtdPB70d4KK-T2neyc0ZV0mzl9Q33XU-4"", ""web!B:B"")), """")"),"黄士涵")</f>
        <v>黄士涵</v>
      </c>
      <c r="D44" s="15">
        <f>IF(UPPER(E44)=UPPER(E5),E4,0)+IF(UPPER(F44)=UPPER(F5),F4,0)+IF(UPPER(G44)=UPPER(G5),G4,0)+IF(UPPER(H44)=UPPER(H5),H4,0)+IF(UPPER(I44)=UPPER(I5),I4,0)+IF(UPPER(J44)=UPPER(J5),J4,0)+IF(UPPER(K44)=UPPER(K5),K4,0)+IF(UPPER(L44)=UPPER(L5),L4,0)+IF(UPPER(M44)=UPPER(M5),M4,0)+IF(UPPER(N44)=UPPER(N5),N4,0)+IF(UPPER(O44)=UPPER(O5),O4,0)+IF(UPPER(P44)=UPPER(P5),P4,0)+IF(UPPER(Q44)=UPPER(Q5),Q4,0)+IF(UPPER(R44)=UPPER(R5),R4,0)+IF(UPPER(S44)=UPPER(S5),S4,0)+IF(UPPER(T44)=UPPER(T5),T4,0)+IF(UPPER(U44)=UPPER(U5),U4,0)+IF(UPPER(V44)=UPPER(V5),V4,0)+IF(UPPER(W44)=UPPER(W5),W4,0)+IF(UPPER(X44)=UPPER(X5),X4,0)+IF(UPPER(Y44)=UPPER(Y5),Y4,0)+IF(UPPER(Z44)=UPPER(Z5),Z4,0)+IF(UPPER(AA44)=UPPER(AA5),AA4,0)+IF(UPPER(AB44)=UPPER(AB5),AB4,0)+IF(UPPER(AC44)=UPPER(AC5),AC4,0)+IF(UPPER(AD44)=UPPER(AD5),AD4,0)+IF(UPPER(AE44)=UPPER(AE5),AE4,0)+IF(UPPER(AF44)=UPPER(AF5),AF4,0)+IF(UPPER(AG44)=UPPER(AG5),AG4,0)+IF(UPPER(AH44)=UPPER(AH5),AH4,0)</f>
        <v>49</v>
      </c>
      <c r="E44" s="13" t="s">
        <v>44</v>
      </c>
      <c r="F44" s="13" t="s">
        <v>44</v>
      </c>
      <c r="G44" s="13" t="s">
        <v>43</v>
      </c>
      <c r="H44" s="13" t="s">
        <v>43</v>
      </c>
      <c r="I44" s="13" t="s">
        <v>46</v>
      </c>
      <c r="J44" s="13" t="s">
        <v>46</v>
      </c>
      <c r="K44" s="13" t="s">
        <v>43</v>
      </c>
      <c r="L44" s="13" t="s">
        <v>46</v>
      </c>
      <c r="M44" s="13" t="s">
        <v>46</v>
      </c>
      <c r="N44" s="13" t="s">
        <v>44</v>
      </c>
      <c r="O44" s="13" t="s">
        <v>43</v>
      </c>
      <c r="P44" s="13" t="s">
        <v>45</v>
      </c>
      <c r="Q44" s="13" t="s">
        <v>46</v>
      </c>
      <c r="R44" s="13" t="s">
        <v>46</v>
      </c>
      <c r="S44" s="13" t="s">
        <v>46</v>
      </c>
      <c r="T44" s="13" t="s">
        <v>43</v>
      </c>
      <c r="U44" s="13" t="s">
        <v>45</v>
      </c>
      <c r="V44" s="13" t="s">
        <v>45</v>
      </c>
      <c r="W44" s="13" t="s">
        <v>43</v>
      </c>
      <c r="X44" s="13" t="s">
        <v>46</v>
      </c>
      <c r="Y44" s="13" t="s">
        <v>45</v>
      </c>
      <c r="Z44" s="13" t="s">
        <v>44</v>
      </c>
      <c r="AA44" s="13" t="s">
        <v>43</v>
      </c>
      <c r="AB44" s="13" t="s">
        <v>44</v>
      </c>
      <c r="AC44" s="13" t="s">
        <v>46</v>
      </c>
      <c r="AD44" s="13" t="s">
        <v>46</v>
      </c>
      <c r="AE44" s="13" t="s">
        <v>43</v>
      </c>
      <c r="AF44" s="13" t="s">
        <v>45</v>
      </c>
      <c r="AG44" s="13" t="s">
        <v>44</v>
      </c>
      <c r="AH44" s="13" t="s">
        <v>46</v>
      </c>
    </row>
    <row r="45" ht="24.0" customHeight="1">
      <c r="A45" s="27">
        <v>2.024903035E9</v>
      </c>
      <c r="B45" s="23" t="s">
        <v>86</v>
      </c>
      <c r="C45" s="24" t="str">
        <f>IFERROR(__xludf.DUMMYFUNCTION("IFERROR(XLOOKUP(A45, IMPORTRANGE(""1dfbuNQ3U1XqtdPB70d4KK-T2neyc0ZV0mzl9Q33XU-4"", ""web!A:A""), IMPORTRANGE(""1dfbuNQ3U1XqtdPB70d4KK-T2neyc0ZV0mzl9Q33XU-4"", ""web!B:B"")), """")"),"曹润忱")</f>
        <v>曹润忱</v>
      </c>
      <c r="D45" s="17">
        <f>IF(UPPER(E45)=UPPER(E5),E4,0)+IF(UPPER(F45)=UPPER(F5),F4,0)+IF(UPPER(G45)=UPPER(G5),G4,0)+IF(UPPER(H45)=UPPER(H5),H4,0)+IF(UPPER(I45)=UPPER(I5),I4,0)+IF(UPPER(J45)=UPPER(J5),J4,0)+IF(UPPER(K45)=UPPER(K5),K4,0)+IF(UPPER(L45)=UPPER(L5),L4,0)+IF(UPPER(M45)=UPPER(M5),M4,0)+IF(UPPER(N45)=UPPER(N5),N4,0)+IF(UPPER(O45)=UPPER(O5),O4,0)+IF(UPPER(P45)=UPPER(P5),P4,0)+IF(UPPER(Q45)=UPPER(Q5),Q4,0)+IF(UPPER(R45)=UPPER(R5),R4,0)+IF(UPPER(S45)=UPPER(S5),S4,0)+IF(UPPER(T45)=UPPER(T5),T4,0)+IF(UPPER(U45)=UPPER(U5),U4,0)+IF(UPPER(V45)=UPPER(V5),V4,0)+IF(UPPER(W45)=UPPER(W5),W4,0)+IF(UPPER(X45)=UPPER(X5),X4,0)+IF(UPPER(Y45)=UPPER(Y5),Y4,0)+IF(UPPER(Z45)=UPPER(Z5),Z4,0)+IF(UPPER(AA45)=UPPER(AA5),AA4,0)+IF(UPPER(AB45)=UPPER(AB5),AB4,0)+IF(UPPER(AC45)=UPPER(AC5),AC4,0)+IF(UPPER(AD45)=UPPER(AD5),AD4,0)+IF(UPPER(AE45)=UPPER(AE5),AE4,0)+IF(UPPER(AF45)=UPPER(AF5),AF4,0)+IF(UPPER(AG45)=UPPER(AG5),AG4,0)+IF(UPPER(AH45)=UPPER(AH5),AH4,0)</f>
        <v>36</v>
      </c>
      <c r="E45" s="18" t="s">
        <v>43</v>
      </c>
      <c r="F45" s="18" t="s">
        <v>44</v>
      </c>
      <c r="G45" s="18" t="s">
        <v>44</v>
      </c>
      <c r="H45" s="18" t="s">
        <v>45</v>
      </c>
      <c r="I45" s="18" t="s">
        <v>43</v>
      </c>
      <c r="J45" s="18" t="s">
        <v>46</v>
      </c>
      <c r="K45" s="18" t="s">
        <v>43</v>
      </c>
      <c r="L45" s="18" t="s">
        <v>45</v>
      </c>
      <c r="M45" s="18" t="s">
        <v>43</v>
      </c>
      <c r="N45" s="18" t="s">
        <v>44</v>
      </c>
      <c r="O45" s="18" t="s">
        <v>46</v>
      </c>
      <c r="P45" s="18" t="s">
        <v>46</v>
      </c>
      <c r="Q45" s="18" t="s">
        <v>45</v>
      </c>
      <c r="R45" s="18" t="s">
        <v>44</v>
      </c>
      <c r="S45" s="18" t="s">
        <v>43</v>
      </c>
      <c r="T45" s="18" t="s">
        <v>43</v>
      </c>
      <c r="U45" s="18" t="s">
        <v>43</v>
      </c>
      <c r="V45" s="18" t="s">
        <v>43</v>
      </c>
      <c r="W45" s="18" t="s">
        <v>44</v>
      </c>
      <c r="X45" s="18" t="s">
        <v>46</v>
      </c>
      <c r="Y45" s="18" t="s">
        <v>44</v>
      </c>
      <c r="Z45" s="18" t="s">
        <v>46</v>
      </c>
      <c r="AA45" s="18" t="s">
        <v>44</v>
      </c>
      <c r="AB45" s="18" t="s">
        <v>45</v>
      </c>
      <c r="AC45" s="18" t="s">
        <v>46</v>
      </c>
      <c r="AD45" s="18" t="s">
        <v>44</v>
      </c>
      <c r="AE45" s="18" t="s">
        <v>46</v>
      </c>
      <c r="AF45" s="18" t="s">
        <v>45</v>
      </c>
      <c r="AG45" s="18" t="s">
        <v>44</v>
      </c>
      <c r="AH45" s="18" t="s">
        <v>46</v>
      </c>
    </row>
    <row r="46" ht="24.0" customHeight="1">
      <c r="A46" s="27">
        <v>2.024902583E9</v>
      </c>
      <c r="B46" s="23" t="s">
        <v>87</v>
      </c>
      <c r="C46" s="25" t="str">
        <f>IFERROR(__xludf.DUMMYFUNCTION("IFERROR(XLOOKUP(A46, IMPORTRANGE(""1dfbuNQ3U1XqtdPB70d4KK-T2neyc0ZV0mzl9Q33XU-4"", ""web!A:A""), IMPORTRANGE(""1dfbuNQ3U1XqtdPB70d4KK-T2neyc0ZV0mzl9Q33XU-4"", ""web!B:B"")), """")"),"张效通")</f>
        <v>张效通</v>
      </c>
      <c r="D46" s="15">
        <f>IF(UPPER(E46)=UPPER(E5),E4,0)+IF(UPPER(F46)=UPPER(F5),F4,0)+IF(UPPER(G46)=UPPER(G5),G4,0)+IF(UPPER(H46)=UPPER(H5),H4,0)+IF(UPPER(I46)=UPPER(I5),I4,0)+IF(UPPER(J46)=UPPER(J5),J4,0)+IF(UPPER(K46)=UPPER(K5),K4,0)+IF(UPPER(L46)=UPPER(L5),L4,0)+IF(UPPER(M46)=UPPER(M5),M4,0)+IF(UPPER(N46)=UPPER(N5),N4,0)+IF(UPPER(O46)=UPPER(O5),O4,0)+IF(UPPER(P46)=UPPER(P5),P4,0)+IF(UPPER(Q46)=UPPER(Q5),Q4,0)+IF(UPPER(R46)=UPPER(R5),R4,0)+IF(UPPER(S46)=UPPER(S5),S4,0)+IF(UPPER(T46)=UPPER(T5),T4,0)+IF(UPPER(U46)=UPPER(U5),U4,0)+IF(UPPER(V46)=UPPER(V5),V4,0)+IF(UPPER(W46)=UPPER(W5),W4,0)+IF(UPPER(X46)=UPPER(X5),X4,0)+IF(UPPER(Y46)=UPPER(Y5),Y4,0)+IF(UPPER(Z46)=UPPER(Z5),Z4,0)+IF(UPPER(AA46)=UPPER(AA5),AA4,0)+IF(UPPER(AB46)=UPPER(AB5),AB4,0)+IF(UPPER(AC46)=UPPER(AC5),AC4,0)+IF(UPPER(AD46)=UPPER(AD5),AD4,0)+IF(UPPER(AE46)=UPPER(AE5),AE4,0)+IF(UPPER(AF46)=UPPER(AF5),AF4,0)+IF(UPPER(AG46)=UPPER(AG5),AG4,0)+IF(UPPER(AH46)=UPPER(AH5),AH4,0)</f>
        <v>67</v>
      </c>
      <c r="E46" s="13" t="s">
        <v>43</v>
      </c>
      <c r="F46" s="13" t="s">
        <v>44</v>
      </c>
      <c r="G46" s="13" t="s">
        <v>43</v>
      </c>
      <c r="H46" s="13" t="s">
        <v>45</v>
      </c>
      <c r="I46" s="13" t="s">
        <v>46</v>
      </c>
      <c r="J46" s="13" t="s">
        <v>46</v>
      </c>
      <c r="K46" s="13" t="s">
        <v>43</v>
      </c>
      <c r="L46" s="13" t="s">
        <v>45</v>
      </c>
      <c r="M46" s="13" t="s">
        <v>46</v>
      </c>
      <c r="N46" s="13" t="s">
        <v>46</v>
      </c>
      <c r="O46" s="13" t="s">
        <v>43</v>
      </c>
      <c r="P46" s="13" t="s">
        <v>46</v>
      </c>
      <c r="Q46" s="13" t="s">
        <v>46</v>
      </c>
      <c r="R46" s="13" t="s">
        <v>44</v>
      </c>
      <c r="S46" s="13" t="s">
        <v>43</v>
      </c>
      <c r="T46" s="13" t="s">
        <v>43</v>
      </c>
      <c r="U46" s="13" t="s">
        <v>45</v>
      </c>
      <c r="V46" s="13" t="s">
        <v>44</v>
      </c>
      <c r="W46" s="13" t="s">
        <v>43</v>
      </c>
      <c r="X46" s="13" t="s">
        <v>45</v>
      </c>
      <c r="Y46" s="13" t="s">
        <v>44</v>
      </c>
      <c r="Z46" s="13" t="s">
        <v>44</v>
      </c>
      <c r="AA46" s="13" t="s">
        <v>43</v>
      </c>
      <c r="AB46" s="13" t="s">
        <v>45</v>
      </c>
      <c r="AC46" s="13" t="s">
        <v>45</v>
      </c>
      <c r="AD46" s="13" t="s">
        <v>44</v>
      </c>
      <c r="AE46" s="13" t="s">
        <v>46</v>
      </c>
      <c r="AF46" s="13" t="s">
        <v>45</v>
      </c>
      <c r="AG46" s="13" t="s">
        <v>46</v>
      </c>
      <c r="AH46" s="13" t="s">
        <v>45</v>
      </c>
    </row>
    <row r="47" ht="24.0" customHeight="1">
      <c r="A47" s="27">
        <v>2.024900592E9</v>
      </c>
      <c r="B47" s="23" t="s">
        <v>88</v>
      </c>
      <c r="C47" s="24" t="str">
        <f>IFERROR(__xludf.DUMMYFUNCTION("IFERROR(XLOOKUP(A47, IMPORTRANGE(""1dfbuNQ3U1XqtdPB70d4KK-T2neyc0ZV0mzl9Q33XU-4"", ""web!A:A""), IMPORTRANGE(""1dfbuNQ3U1XqtdPB70d4KK-T2neyc0ZV0mzl9Q33XU-4"", ""web!B:B"")), """")"),"王涵")</f>
        <v>王涵</v>
      </c>
      <c r="D47" s="17">
        <f>IF(UPPER(E47)=UPPER(E5),E4,0)+IF(UPPER(F47)=UPPER(F5),F4,0)+IF(UPPER(G47)=UPPER(G5),G4,0)+IF(UPPER(H47)=UPPER(H5),H4,0)+IF(UPPER(I47)=UPPER(I5),I4,0)+IF(UPPER(J47)=UPPER(J5),J4,0)+IF(UPPER(K47)=UPPER(K5),K4,0)+IF(UPPER(L47)=UPPER(L5),L4,0)+IF(UPPER(M47)=UPPER(M5),M4,0)+IF(UPPER(N47)=UPPER(N5),N4,0)+IF(UPPER(O47)=UPPER(O5),O4,0)+IF(UPPER(P47)=UPPER(P5),P4,0)+IF(UPPER(Q47)=UPPER(Q5),Q4,0)+IF(UPPER(R47)=UPPER(R5),R4,0)+IF(UPPER(S47)=UPPER(S5),S4,0)+IF(UPPER(T47)=UPPER(T5),T4,0)+IF(UPPER(U47)=UPPER(U5),U4,0)+IF(UPPER(V47)=UPPER(V5),V4,0)+IF(UPPER(W47)=UPPER(W5),W4,0)+IF(UPPER(X47)=UPPER(X5),X4,0)+IF(UPPER(Y47)=UPPER(Y5),Y4,0)+IF(UPPER(Z47)=UPPER(Z5),Z4,0)+IF(UPPER(AA47)=UPPER(AA5),AA4,0)+IF(UPPER(AB47)=UPPER(AB5),AB4,0)+IF(UPPER(AC47)=UPPER(AC5),AC4,0)+IF(UPPER(AD47)=UPPER(AD5),AD4,0)+IF(UPPER(AE47)=UPPER(AE5),AE4,0)+IF(UPPER(AF47)=UPPER(AF5),AF4,0)+IF(UPPER(AG47)=UPPER(AG5),AG4,0)+IF(UPPER(AH47)=UPPER(AH5),AH4,0)</f>
        <v>52</v>
      </c>
      <c r="E47" s="18" t="s">
        <v>46</v>
      </c>
      <c r="F47" s="18" t="s">
        <v>44</v>
      </c>
      <c r="G47" s="18" t="s">
        <v>43</v>
      </c>
      <c r="H47" s="18" t="s">
        <v>45</v>
      </c>
      <c r="I47" s="18" t="s">
        <v>43</v>
      </c>
      <c r="J47" s="18" t="s">
        <v>44</v>
      </c>
      <c r="K47" s="18" t="s">
        <v>43</v>
      </c>
      <c r="L47" s="18" t="s">
        <v>45</v>
      </c>
      <c r="M47" s="18" t="s">
        <v>44</v>
      </c>
      <c r="N47" s="18" t="s">
        <v>46</v>
      </c>
      <c r="O47" s="18" t="s">
        <v>43</v>
      </c>
      <c r="P47" s="18" t="s">
        <v>46</v>
      </c>
      <c r="Q47" s="18" t="s">
        <v>46</v>
      </c>
      <c r="R47" s="18" t="s">
        <v>44</v>
      </c>
      <c r="S47" s="18" t="s">
        <v>43</v>
      </c>
      <c r="T47" s="18" t="s">
        <v>43</v>
      </c>
      <c r="U47" s="18" t="s">
        <v>43</v>
      </c>
      <c r="V47" s="18" t="s">
        <v>45</v>
      </c>
      <c r="W47" s="18" t="s">
        <v>44</v>
      </c>
      <c r="X47" s="18" t="s">
        <v>46</v>
      </c>
      <c r="Y47" s="18" t="s">
        <v>44</v>
      </c>
      <c r="Z47" s="18" t="s">
        <v>44</v>
      </c>
      <c r="AA47" s="18" t="s">
        <v>45</v>
      </c>
      <c r="AB47" s="18" t="s">
        <v>45</v>
      </c>
      <c r="AC47" s="18" t="s">
        <v>44</v>
      </c>
      <c r="AD47" s="18" t="s">
        <v>46</v>
      </c>
      <c r="AE47" s="18" t="s">
        <v>43</v>
      </c>
      <c r="AF47" s="18" t="s">
        <v>45</v>
      </c>
      <c r="AG47" s="18" t="s">
        <v>46</v>
      </c>
      <c r="AH47" s="18" t="s">
        <v>43</v>
      </c>
    </row>
    <row r="48" ht="24.0" customHeight="1">
      <c r="A48" s="27">
        <v>2.024903533E9</v>
      </c>
      <c r="B48" s="23" t="s">
        <v>89</v>
      </c>
      <c r="C48" s="25" t="str">
        <f>IFERROR(__xludf.DUMMYFUNCTION("IFERROR(XLOOKUP(A48, IMPORTRANGE(""1dfbuNQ3U1XqtdPB70d4KK-T2neyc0ZV0mzl9Q33XU-4"", ""web!A:A""), IMPORTRANGE(""1dfbuNQ3U1XqtdPB70d4KK-T2neyc0ZV0mzl9Q33XU-4"", ""web!B:B"")), """")"),"张中子墨")</f>
        <v>张中子墨</v>
      </c>
      <c r="D48" s="15">
        <f>IF(UPPER(E48)=UPPER(E5),E4,0)+IF(UPPER(F48)=UPPER(F5),F4,0)+IF(UPPER(G48)=UPPER(G5),G4,0)+IF(UPPER(H48)=UPPER(H5),H4,0)+IF(UPPER(I48)=UPPER(I5),I4,0)+IF(UPPER(J48)=UPPER(J5),J4,0)+IF(UPPER(K48)=UPPER(K5),K4,0)+IF(UPPER(L48)=UPPER(L5),L4,0)+IF(UPPER(M48)=UPPER(M5),M4,0)+IF(UPPER(N48)=UPPER(N5),N4,0)+IF(UPPER(O48)=UPPER(O5),O4,0)+IF(UPPER(P48)=UPPER(P5),P4,0)+IF(UPPER(Q48)=UPPER(Q5),Q4,0)+IF(UPPER(R48)=UPPER(R5),R4,0)+IF(UPPER(S48)=UPPER(S5),S4,0)+IF(UPPER(T48)=UPPER(T5),T4,0)+IF(UPPER(U48)=UPPER(U5),U4,0)+IF(UPPER(V48)=UPPER(V5),V4,0)+IF(UPPER(W48)=UPPER(W5),W4,0)+IF(UPPER(X48)=UPPER(X5),X4,0)+IF(UPPER(Y48)=UPPER(Y5),Y4,0)+IF(UPPER(Z48)=UPPER(Z5),Z4,0)+IF(UPPER(AA48)=UPPER(AA5),AA4,0)+IF(UPPER(AB48)=UPPER(AB5),AB4,0)+IF(UPPER(AC48)=UPPER(AC5),AC4,0)+IF(UPPER(AD48)=UPPER(AD5),AD4,0)+IF(UPPER(AE48)=UPPER(AE5),AE4,0)+IF(UPPER(AF48)=UPPER(AF5),AF4,0)+IF(UPPER(AG48)=UPPER(AG5),AG4,0)+IF(UPPER(AH48)=UPPER(AH5),AH4,0)</f>
        <v>70</v>
      </c>
      <c r="E48" s="13" t="s">
        <v>46</v>
      </c>
      <c r="F48" s="13" t="s">
        <v>44</v>
      </c>
      <c r="G48" s="13" t="s">
        <v>43</v>
      </c>
      <c r="H48" s="13" t="s">
        <v>45</v>
      </c>
      <c r="I48" s="13" t="s">
        <v>46</v>
      </c>
      <c r="J48" s="13" t="s">
        <v>44</v>
      </c>
      <c r="K48" s="13" t="s">
        <v>43</v>
      </c>
      <c r="L48" s="13" t="s">
        <v>45</v>
      </c>
      <c r="M48" s="13" t="s">
        <v>43</v>
      </c>
      <c r="N48" s="13" t="s">
        <v>44</v>
      </c>
      <c r="O48" s="13" t="s">
        <v>45</v>
      </c>
      <c r="P48" s="13" t="s">
        <v>44</v>
      </c>
      <c r="Q48" s="13" t="s">
        <v>46</v>
      </c>
      <c r="R48" s="13" t="s">
        <v>44</v>
      </c>
      <c r="S48" s="13" t="s">
        <v>43</v>
      </c>
      <c r="T48" s="13" t="s">
        <v>43</v>
      </c>
      <c r="U48" s="13" t="s">
        <v>45</v>
      </c>
      <c r="V48" s="13" t="s">
        <v>45</v>
      </c>
      <c r="W48" s="13" t="s">
        <v>44</v>
      </c>
      <c r="X48" s="13" t="s">
        <v>45</v>
      </c>
      <c r="Y48" s="13" t="s">
        <v>44</v>
      </c>
      <c r="Z48" s="13" t="s">
        <v>44</v>
      </c>
      <c r="AA48" s="13" t="s">
        <v>43</v>
      </c>
      <c r="AB48" s="13" t="s">
        <v>45</v>
      </c>
      <c r="AC48" s="13" t="s">
        <v>46</v>
      </c>
      <c r="AD48" s="13" t="s">
        <v>44</v>
      </c>
      <c r="AE48" s="13" t="s">
        <v>43</v>
      </c>
      <c r="AF48" s="13" t="s">
        <v>45</v>
      </c>
      <c r="AG48" s="13" t="s">
        <v>44</v>
      </c>
      <c r="AH48" s="13" t="s">
        <v>44</v>
      </c>
    </row>
    <row r="49" ht="24.0" customHeight="1">
      <c r="A49" s="27">
        <v>2.024900811E9</v>
      </c>
      <c r="B49" s="23" t="s">
        <v>90</v>
      </c>
      <c r="C49" s="24" t="str">
        <f>IFERROR(__xludf.DUMMYFUNCTION("IFERROR(XLOOKUP(A49, IMPORTRANGE(""1dfbuNQ3U1XqtdPB70d4KK-T2neyc0ZV0mzl9Q33XU-4"", ""web!A:A""), IMPORTRANGE(""1dfbuNQ3U1XqtdPB70d4KK-T2neyc0ZV0mzl9Q33XU-4"", ""web!B:B"")), """")"),"刘旭朗")</f>
        <v>刘旭朗</v>
      </c>
      <c r="D49" s="17">
        <f>IF(UPPER(E49)=UPPER(E5),E4,0)+IF(UPPER(F49)=UPPER(F5),F4,0)+IF(UPPER(G49)=UPPER(G5),G4,0)+IF(UPPER(H49)=UPPER(H5),H4,0)+IF(UPPER(I49)=UPPER(I5),I4,0)+IF(UPPER(J49)=UPPER(J5),J4,0)+IF(UPPER(K49)=UPPER(K5),K4,0)+IF(UPPER(L49)=UPPER(L5),L4,0)+IF(UPPER(M49)=UPPER(M5),M4,0)+IF(UPPER(N49)=UPPER(N5),N4,0)+IF(UPPER(O49)=UPPER(O5),O4,0)+IF(UPPER(P49)=UPPER(P5),P4,0)+IF(UPPER(Q49)=UPPER(Q5),Q4,0)+IF(UPPER(R49)=UPPER(R5),R4,0)+IF(UPPER(S49)=UPPER(S5),S4,0)+IF(UPPER(T49)=UPPER(T5),T4,0)+IF(UPPER(U49)=UPPER(U5),U4,0)+IF(UPPER(V49)=UPPER(V5),V4,0)+IF(UPPER(W49)=UPPER(W5),W4,0)+IF(UPPER(X49)=UPPER(X5),X4,0)+IF(UPPER(Y49)=UPPER(Y5),Y4,0)+IF(UPPER(Z49)=UPPER(Z5),Z4,0)+IF(UPPER(AA49)=UPPER(AA5),AA4,0)+IF(UPPER(AB49)=UPPER(AB5),AB4,0)+IF(UPPER(AC49)=UPPER(AC5),AC4,0)+IF(UPPER(AD49)=UPPER(AD5),AD4,0)+IF(UPPER(AE49)=UPPER(AE5),AE4,0)+IF(UPPER(AF49)=UPPER(AF5),AF4,0)+IF(UPPER(AG49)=UPPER(AG5),AG4,0)+IF(UPPER(AH49)=UPPER(AH5),AH4,0)</f>
        <v>56</v>
      </c>
      <c r="E49" s="18" t="s">
        <v>46</v>
      </c>
      <c r="F49" s="18" t="s">
        <v>44</v>
      </c>
      <c r="G49" s="18" t="s">
        <v>44</v>
      </c>
      <c r="H49" s="18" t="s">
        <v>45</v>
      </c>
      <c r="I49" s="18" t="s">
        <v>46</v>
      </c>
      <c r="J49" s="18" t="s">
        <v>46</v>
      </c>
      <c r="K49" s="18" t="s">
        <v>43</v>
      </c>
      <c r="L49" s="18" t="s">
        <v>45</v>
      </c>
      <c r="M49" s="18" t="s">
        <v>46</v>
      </c>
      <c r="N49" s="18" t="s">
        <v>46</v>
      </c>
      <c r="O49" s="18" t="s">
        <v>43</v>
      </c>
      <c r="P49" s="18" t="s">
        <v>46</v>
      </c>
      <c r="Q49" s="18" t="s">
        <v>46</v>
      </c>
      <c r="R49" s="18" t="s">
        <v>44</v>
      </c>
      <c r="S49" s="18" t="s">
        <v>43</v>
      </c>
      <c r="T49" s="18" t="s">
        <v>43</v>
      </c>
      <c r="U49" s="18" t="s">
        <v>45</v>
      </c>
      <c r="V49" s="18" t="s">
        <v>43</v>
      </c>
      <c r="W49" s="18" t="s">
        <v>44</v>
      </c>
      <c r="X49" s="18" t="s">
        <v>46</v>
      </c>
      <c r="Y49" s="18" t="s">
        <v>44</v>
      </c>
      <c r="Z49" s="18" t="s">
        <v>44</v>
      </c>
      <c r="AA49" s="18" t="s">
        <v>43</v>
      </c>
      <c r="AB49" s="18" t="s">
        <v>45</v>
      </c>
      <c r="AC49" s="18" t="s">
        <v>46</v>
      </c>
      <c r="AD49" s="18" t="s">
        <v>45</v>
      </c>
      <c r="AE49" s="18" t="s">
        <v>43</v>
      </c>
      <c r="AF49" s="18" t="s">
        <v>45</v>
      </c>
      <c r="AG49" s="18" t="s">
        <v>44</v>
      </c>
      <c r="AH49" s="18" t="s">
        <v>43</v>
      </c>
    </row>
    <row r="50" ht="24.0" customHeight="1">
      <c r="A50" s="29">
        <v>2.024902587E9</v>
      </c>
      <c r="B50" s="23" t="s">
        <v>91</v>
      </c>
      <c r="C50" s="21" t="s">
        <v>92</v>
      </c>
      <c r="D50" s="15">
        <f>IF(UPPER(E50)=UPPER(E5),E4,0)+IF(UPPER(F50)=UPPER(F5),F4,0)+IF(UPPER(G50)=UPPER(G5),G4,0)+IF(UPPER(H50)=UPPER(H5),H4,0)+IF(UPPER(I50)=UPPER(I5),I4,0)+IF(UPPER(J50)=UPPER(J5),J4,0)+IF(UPPER(K50)=UPPER(K5),K4,0)+IF(UPPER(L50)=UPPER(L5),L4,0)+IF(UPPER(M50)=UPPER(M5),M4,0)+IF(UPPER(N50)=UPPER(N5),N4,0)+IF(UPPER(O50)=UPPER(O5),O4,0)+IF(UPPER(P50)=UPPER(P5),P4,0)+IF(UPPER(Q50)=UPPER(Q5),Q4,0)+IF(UPPER(R50)=UPPER(R5),R4,0)+IF(UPPER(S50)=UPPER(S5),S4,0)+IF(UPPER(T50)=UPPER(T5),T4,0)+IF(UPPER(U50)=UPPER(U5),U4,0)+IF(UPPER(V50)=UPPER(V5),V4,0)+IF(UPPER(W50)=UPPER(W5),W4,0)+IF(UPPER(X50)=UPPER(X5),X4,0)+IF(UPPER(Y50)=UPPER(Y5),Y4,0)+IF(UPPER(Z50)=UPPER(Z5),Z4,0)+IF(UPPER(AA50)=UPPER(AA5),AA4,0)+IF(UPPER(AB50)=UPPER(AB5),AB4,0)+IF(UPPER(AC50)=UPPER(AC5),AC4,0)+IF(UPPER(AD50)=UPPER(AD5),AD4,0)+IF(UPPER(AE50)=UPPER(AE5),AE4,0)+IF(UPPER(AF50)=UPPER(AF5),AF4,0)+IF(UPPER(AG50)=UPPER(AG5),AG4,0)+IF(UPPER(AH50)=UPPER(AH5),AH4,0)</f>
        <v>61</v>
      </c>
      <c r="E50" s="13" t="s">
        <v>43</v>
      </c>
      <c r="F50" s="13" t="s">
        <v>44</v>
      </c>
      <c r="G50" s="13" t="s">
        <v>43</v>
      </c>
      <c r="H50" s="13" t="s">
        <v>45</v>
      </c>
      <c r="I50" s="13" t="s">
        <v>46</v>
      </c>
      <c r="J50" s="13" t="s">
        <v>46</v>
      </c>
      <c r="K50" s="13" t="s">
        <v>43</v>
      </c>
      <c r="L50" s="13" t="s">
        <v>45</v>
      </c>
      <c r="M50" s="13" t="s">
        <v>45</v>
      </c>
      <c r="N50" s="13" t="s">
        <v>46</v>
      </c>
      <c r="O50" s="13" t="s">
        <v>43</v>
      </c>
      <c r="P50" s="13" t="s">
        <v>46</v>
      </c>
      <c r="Q50" s="13" t="s">
        <v>46</v>
      </c>
      <c r="R50" s="13" t="s">
        <v>45</v>
      </c>
      <c r="S50" s="13" t="s">
        <v>43</v>
      </c>
      <c r="T50" s="13" t="s">
        <v>45</v>
      </c>
      <c r="U50" s="13" t="s">
        <v>46</v>
      </c>
      <c r="V50" s="13" t="s">
        <v>44</v>
      </c>
      <c r="W50" s="13" t="s">
        <v>43</v>
      </c>
      <c r="X50" s="13" t="s">
        <v>46</v>
      </c>
      <c r="Y50" s="13" t="s">
        <v>44</v>
      </c>
      <c r="Z50" s="13" t="s">
        <v>44</v>
      </c>
      <c r="AA50" s="13" t="s">
        <v>45</v>
      </c>
      <c r="AB50" s="13" t="s">
        <v>45</v>
      </c>
      <c r="AC50" s="13" t="s">
        <v>45</v>
      </c>
      <c r="AD50" s="13" t="s">
        <v>44</v>
      </c>
      <c r="AE50" s="13" t="s">
        <v>43</v>
      </c>
      <c r="AF50" s="13" t="s">
        <v>45</v>
      </c>
      <c r="AG50" s="13" t="s">
        <v>46</v>
      </c>
      <c r="AH50" s="13" t="s">
        <v>46</v>
      </c>
    </row>
    <row r="51" ht="24.0" customHeight="1">
      <c r="A51" s="27">
        <v>2.02490512E9</v>
      </c>
      <c r="B51" s="23" t="s">
        <v>93</v>
      </c>
      <c r="C51" s="30" t="s">
        <v>94</v>
      </c>
      <c r="D51" s="17">
        <f>IF(UPPER(E51)=UPPER(E5),E4,0)+IF(UPPER(F51)=UPPER(F5),F4,0)+IF(UPPER(G51)=UPPER(G5),G4,0)+IF(UPPER(H51)=UPPER(H5),H4,0)+IF(UPPER(I51)=UPPER(I5),I4,0)+IF(UPPER(J51)=UPPER(J5),J4,0)+IF(UPPER(K51)=UPPER(K5),K4,0)+IF(UPPER(L51)=UPPER(L5),L4,0)+IF(UPPER(M51)=UPPER(M5),M4,0)+IF(UPPER(N51)=UPPER(N5),N4,0)+IF(UPPER(O51)=UPPER(O5),O4,0)+IF(UPPER(P51)=UPPER(P5),P4,0)+IF(UPPER(Q51)=UPPER(Q5),Q4,0)+IF(UPPER(R51)=UPPER(R5),R4,0)+IF(UPPER(S51)=UPPER(S5),S4,0)+IF(UPPER(T51)=UPPER(T5),T4,0)+IF(UPPER(U51)=UPPER(U5),U4,0)+IF(UPPER(V51)=UPPER(V5),V4,0)+IF(UPPER(W51)=UPPER(W5),W4,0)+IF(UPPER(X51)=UPPER(X5),X4,0)+IF(UPPER(Y51)=UPPER(Y5),Y4,0)+IF(UPPER(Z51)=UPPER(Z5),Z4,0)+IF(UPPER(AA51)=UPPER(AA5),AA4,0)+IF(UPPER(AB51)=UPPER(AB5),AB4,0)+IF(UPPER(AC51)=UPPER(AC5),AC4,0)+IF(UPPER(AD51)=UPPER(AD5),AD4,0)+IF(UPPER(AE51)=UPPER(AE5),AE4,0)+IF(UPPER(AF51)=UPPER(AF5),AF4,0)+IF(UPPER(AG51)=UPPER(AG5),AG4,0)+IF(UPPER(AH51)=UPPER(AH5),AH4,0)</f>
        <v>45</v>
      </c>
      <c r="E51" s="18" t="s">
        <v>46</v>
      </c>
      <c r="F51" s="18" t="s">
        <v>44</v>
      </c>
      <c r="G51" s="18" t="s">
        <v>43</v>
      </c>
      <c r="H51" s="18" t="s">
        <v>45</v>
      </c>
      <c r="I51" s="18" t="s">
        <v>46</v>
      </c>
      <c r="J51" s="18" t="s">
        <v>46</v>
      </c>
      <c r="K51" s="18" t="s">
        <v>43</v>
      </c>
      <c r="L51" s="18" t="s">
        <v>45</v>
      </c>
      <c r="M51" s="18" t="s">
        <v>45</v>
      </c>
      <c r="N51" s="18" t="s">
        <v>46</v>
      </c>
      <c r="O51" s="18" t="s">
        <v>46</v>
      </c>
      <c r="P51" s="18" t="s">
        <v>44</v>
      </c>
      <c r="Q51" s="18" t="s">
        <v>46</v>
      </c>
      <c r="R51" s="18" t="s">
        <v>46</v>
      </c>
      <c r="S51" s="18" t="s">
        <v>43</v>
      </c>
      <c r="T51" s="18" t="s">
        <v>46</v>
      </c>
      <c r="U51" s="18" t="s">
        <v>43</v>
      </c>
      <c r="V51" s="18" t="s">
        <v>46</v>
      </c>
      <c r="W51" s="18" t="s">
        <v>44</v>
      </c>
      <c r="X51" s="18" t="s">
        <v>46</v>
      </c>
      <c r="Y51" s="18" t="s">
        <v>44</v>
      </c>
      <c r="Z51" s="18" t="s">
        <v>44</v>
      </c>
      <c r="AA51" s="18" t="s">
        <v>43</v>
      </c>
      <c r="AB51" s="18" t="s">
        <v>45</v>
      </c>
      <c r="AC51" s="18" t="s">
        <v>46</v>
      </c>
      <c r="AD51" s="18" t="s">
        <v>44</v>
      </c>
      <c r="AE51" s="18" t="s">
        <v>44</v>
      </c>
      <c r="AF51" s="18" t="s">
        <v>46</v>
      </c>
      <c r="AG51" s="18" t="s">
        <v>44</v>
      </c>
      <c r="AH51" s="18" t="s">
        <v>43</v>
      </c>
    </row>
    <row r="52" ht="24.0" customHeight="1">
      <c r="A52" s="27">
        <v>2.024904082E9</v>
      </c>
      <c r="B52" s="23" t="s">
        <v>95</v>
      </c>
      <c r="C52" s="25" t="str">
        <f>IFERROR(__xludf.DUMMYFUNCTION("IFERROR(XLOOKUP(A52, IMPORTRANGE(""1dfbuNQ3U1XqtdPB70d4KK-T2neyc0ZV0mzl9Q33XU-4"", ""web!A:A""), IMPORTRANGE(""1dfbuNQ3U1XqtdPB70d4KK-T2neyc0ZV0mzl9Q33XU-4"", ""web!B:B"")), """")"),"张宇睿")</f>
        <v>张宇睿</v>
      </c>
      <c r="D52" s="15">
        <f>IF(UPPER(E52)=UPPER(E5),E4,0)+IF(UPPER(F52)=UPPER(F5),F4,0)+IF(UPPER(G52)=UPPER(G5),G4,0)+IF(UPPER(H52)=UPPER(H5),H4,0)+IF(UPPER(I52)=UPPER(I5),I4,0)+IF(UPPER(J52)=UPPER(J5),J4,0)+IF(UPPER(K52)=UPPER(K5),K4,0)+IF(UPPER(L52)=UPPER(L5),L4,0)+IF(UPPER(M52)=UPPER(M5),M4,0)+IF(UPPER(N52)=UPPER(N5),N4,0)+IF(UPPER(O52)=UPPER(O5),O4,0)+IF(UPPER(P52)=UPPER(P5),P4,0)+IF(UPPER(Q52)=UPPER(Q5),Q4,0)+IF(UPPER(R52)=UPPER(R5),R4,0)+IF(UPPER(S52)=UPPER(S5),S4,0)+IF(UPPER(T52)=UPPER(T5),T4,0)+IF(UPPER(U52)=UPPER(U5),U4,0)+IF(UPPER(V52)=UPPER(V5),V4,0)+IF(UPPER(W52)=UPPER(W5),W4,0)+IF(UPPER(X52)=UPPER(X5),X4,0)+IF(UPPER(Y52)=UPPER(Y5),Y4,0)+IF(UPPER(Z52)=UPPER(Z5),Z4,0)+IF(UPPER(AA52)=UPPER(AA5),AA4,0)+IF(UPPER(AB52)=UPPER(AB5),AB4,0)+IF(UPPER(AC52)=UPPER(AC5),AC4,0)+IF(UPPER(AD52)=UPPER(AD5),AD4,0)+IF(UPPER(AE52)=UPPER(AE5),AE4,0)+IF(UPPER(AF52)=UPPER(AF5),AF4,0)+IF(UPPER(AG52)=UPPER(AG5),AG4,0)+IF(UPPER(AH52)=UPPER(AH5),AH4,0)</f>
        <v>75</v>
      </c>
      <c r="E52" s="13" t="s">
        <v>46</v>
      </c>
      <c r="F52" s="13" t="s">
        <v>44</v>
      </c>
      <c r="G52" s="13" t="s">
        <v>43</v>
      </c>
      <c r="H52" s="13" t="s">
        <v>44</v>
      </c>
      <c r="I52" s="13" t="s">
        <v>46</v>
      </c>
      <c r="J52" s="13" t="s">
        <v>44</v>
      </c>
      <c r="K52" s="13" t="s">
        <v>43</v>
      </c>
      <c r="L52" s="13" t="s">
        <v>45</v>
      </c>
      <c r="M52" s="13" t="s">
        <v>43</v>
      </c>
      <c r="N52" s="13" t="s">
        <v>44</v>
      </c>
      <c r="O52" s="13" t="s">
        <v>43</v>
      </c>
      <c r="P52" s="13" t="s">
        <v>45</v>
      </c>
      <c r="Q52" s="13" t="s">
        <v>46</v>
      </c>
      <c r="R52" s="13" t="s">
        <v>44</v>
      </c>
      <c r="S52" s="13" t="s">
        <v>43</v>
      </c>
      <c r="T52" s="13" t="s">
        <v>45</v>
      </c>
      <c r="U52" s="13" t="s">
        <v>46</v>
      </c>
      <c r="V52" s="13" t="s">
        <v>44</v>
      </c>
      <c r="W52" s="13" t="s">
        <v>43</v>
      </c>
      <c r="X52" s="13" t="s">
        <v>46</v>
      </c>
      <c r="Y52" s="13" t="s">
        <v>44</v>
      </c>
      <c r="Z52" s="13" t="s">
        <v>46</v>
      </c>
      <c r="AA52" s="13" t="s">
        <v>43</v>
      </c>
      <c r="AB52" s="13" t="s">
        <v>45</v>
      </c>
      <c r="AC52" s="13" t="s">
        <v>44</v>
      </c>
      <c r="AD52" s="13" t="s">
        <v>44</v>
      </c>
      <c r="AE52" s="13" t="s">
        <v>43</v>
      </c>
      <c r="AF52" s="13" t="s">
        <v>45</v>
      </c>
      <c r="AG52" s="13" t="s">
        <v>44</v>
      </c>
      <c r="AH52" s="13" t="s">
        <v>44</v>
      </c>
    </row>
    <row r="53" ht="24.0" customHeight="1">
      <c r="A53" s="27">
        <v>2.024900807E9</v>
      </c>
      <c r="B53" s="23" t="s">
        <v>96</v>
      </c>
      <c r="C53" s="24" t="str">
        <f>IFERROR(__xludf.DUMMYFUNCTION("IFERROR(XLOOKUP(A53, IMPORTRANGE(""1dfbuNQ3U1XqtdPB70d4KK-T2neyc0ZV0mzl9Q33XU-4"", ""web!A:A""), IMPORTRANGE(""1dfbuNQ3U1XqtdPB70d4KK-T2neyc0ZV0mzl9Q33XU-4"", ""web!B:B"")), """")"),"刘奕博")</f>
        <v>刘奕博</v>
      </c>
      <c r="D53" s="17">
        <f>IF(UPPER(E53)=UPPER(E5),E4,0)+IF(UPPER(F53)=UPPER(F5),F4,0)+IF(UPPER(G53)=UPPER(G5),G4,0)+IF(UPPER(H53)=UPPER(H5),H4,0)+IF(UPPER(I53)=UPPER(I5),I4,0)+IF(UPPER(J53)=UPPER(J5),J4,0)+IF(UPPER(K53)=UPPER(K5),K4,0)+IF(UPPER(L53)=UPPER(L5),L4,0)+IF(UPPER(M53)=UPPER(M5),M4,0)+IF(UPPER(N53)=UPPER(N5),N4,0)+IF(UPPER(O53)=UPPER(O5),O4,0)+IF(UPPER(P53)=UPPER(P5),P4,0)+IF(UPPER(Q53)=UPPER(Q5),Q4,0)+IF(UPPER(R53)=UPPER(R5),R4,0)+IF(UPPER(S53)=UPPER(S5),S4,0)+IF(UPPER(T53)=UPPER(T5),T4,0)+IF(UPPER(U53)=UPPER(U5),U4,0)+IF(UPPER(V53)=UPPER(V5),V4,0)+IF(UPPER(W53)=UPPER(W5),W4,0)+IF(UPPER(X53)=UPPER(X5),X4,0)+IF(UPPER(Y53)=UPPER(Y5),Y4,0)+IF(UPPER(Z53)=UPPER(Z5),Z4,0)+IF(UPPER(AA53)=UPPER(AA5),AA4,0)+IF(UPPER(AB53)=UPPER(AB5),AB4,0)+IF(UPPER(AC53)=UPPER(AC5),AC4,0)+IF(UPPER(AD53)=UPPER(AD5),AD4,0)+IF(UPPER(AE53)=UPPER(AE5),AE4,0)+IF(UPPER(AF53)=UPPER(AF5),AF4,0)+IF(UPPER(AG53)=UPPER(AG5),AG4,0)+IF(UPPER(AH53)=UPPER(AH5),AH4,0)</f>
        <v>66</v>
      </c>
      <c r="E53" s="18" t="s">
        <v>43</v>
      </c>
      <c r="F53" s="18" t="s">
        <v>44</v>
      </c>
      <c r="G53" s="18" t="s">
        <v>43</v>
      </c>
      <c r="H53" s="18" t="s">
        <v>45</v>
      </c>
      <c r="I53" s="18" t="s">
        <v>46</v>
      </c>
      <c r="J53" s="18" t="s">
        <v>44</v>
      </c>
      <c r="K53" s="18" t="s">
        <v>43</v>
      </c>
      <c r="L53" s="18" t="s">
        <v>45</v>
      </c>
      <c r="M53" s="18" t="s">
        <v>43</v>
      </c>
      <c r="N53" s="18" t="s">
        <v>44</v>
      </c>
      <c r="O53" s="18" t="s">
        <v>43</v>
      </c>
      <c r="P53" s="18" t="s">
        <v>43</v>
      </c>
      <c r="Q53" s="18" t="s">
        <v>46</v>
      </c>
      <c r="R53" s="18" t="s">
        <v>44</v>
      </c>
      <c r="S53" s="18" t="s">
        <v>43</v>
      </c>
      <c r="T53" s="18" t="s">
        <v>43</v>
      </c>
      <c r="U53" s="18" t="s">
        <v>44</v>
      </c>
      <c r="V53" s="18" t="s">
        <v>44</v>
      </c>
      <c r="W53" s="18" t="s">
        <v>43</v>
      </c>
      <c r="X53" s="18" t="s">
        <v>46</v>
      </c>
      <c r="Y53" s="18" t="s">
        <v>44</v>
      </c>
      <c r="Z53" s="18" t="s">
        <v>46</v>
      </c>
      <c r="AA53" s="18" t="s">
        <v>43</v>
      </c>
      <c r="AB53" s="18" t="s">
        <v>45</v>
      </c>
      <c r="AC53" s="18" t="s">
        <v>45</v>
      </c>
      <c r="AD53" s="18" t="s">
        <v>44</v>
      </c>
      <c r="AE53" s="18" t="s">
        <v>43</v>
      </c>
      <c r="AF53" s="18" t="s">
        <v>45</v>
      </c>
      <c r="AG53" s="18" t="s">
        <v>46</v>
      </c>
      <c r="AH53" s="18" t="s">
        <v>46</v>
      </c>
    </row>
    <row r="54" ht="24.0" customHeight="1">
      <c r="A54" s="31">
        <v>2.023905492E9</v>
      </c>
      <c r="B54" s="32" t="s">
        <v>97</v>
      </c>
      <c r="C54" s="33" t="s">
        <v>98</v>
      </c>
      <c r="D54" s="15">
        <f>IF(UPPER(E54)=UPPER(E5),E4,0)+IF(UPPER(F54)=UPPER(F5),F4,0)+IF(UPPER(G54)=UPPER(G5),G4,0)+IF(UPPER(H54)=UPPER(H5),H4,0)+IF(UPPER(I54)=UPPER(I5),I4,0)+IF(UPPER(J54)=UPPER(J5),J4,0)+IF(UPPER(K54)=UPPER(K5),K4,0)+IF(UPPER(L54)=UPPER(L5),L4,0)+IF(UPPER(M54)=UPPER(M5),M4,0)+IF(UPPER(N54)=UPPER(N5),N4,0)+IF(UPPER(O54)=UPPER(O5),O4,0)+IF(UPPER(P54)=UPPER(P5),P4,0)+IF(UPPER(Q54)=UPPER(Q5),Q4,0)+IF(UPPER(R54)=UPPER(R5),R4,0)+IF(UPPER(S54)=UPPER(S5),S4,0)+IF(UPPER(T54)=UPPER(T5),T4,0)+IF(UPPER(U54)=UPPER(U5),U4,0)+IF(UPPER(V54)=UPPER(V5),V4,0)+IF(UPPER(W54)=UPPER(W5),W4,0)+IF(UPPER(X54)=UPPER(X5),X4,0)+IF(UPPER(Y54)=UPPER(Y5),Y4,0)+IF(UPPER(Z54)=UPPER(Z5),Z4,0)+IF(UPPER(AA54)=UPPER(AA5),AA4,0)+IF(UPPER(AB54)=UPPER(AB5),AB4,0)+IF(UPPER(AC54)=UPPER(AC5),AC4,0)+IF(UPPER(AD54)=UPPER(AD5),AD4,0)+IF(UPPER(AE54)=UPPER(AE5),AE4,0)+IF(UPPER(AF54)=UPPER(AF5),AF4,0)+IF(UPPER(AG54)=UPPER(AG5),AG4,0)+IF(UPPER(AH54)=UPPER(AH5),AH4,0)</f>
        <v>60</v>
      </c>
      <c r="E54" s="13" t="s">
        <v>43</v>
      </c>
      <c r="F54" s="13" t="s">
        <v>44</v>
      </c>
      <c r="G54" s="13" t="s">
        <v>43</v>
      </c>
      <c r="H54" s="13" t="s">
        <v>45</v>
      </c>
      <c r="I54" s="13" t="s">
        <v>46</v>
      </c>
      <c r="J54" s="13" t="s">
        <v>44</v>
      </c>
      <c r="K54" s="13" t="s">
        <v>43</v>
      </c>
      <c r="L54" s="13" t="s">
        <v>45</v>
      </c>
      <c r="M54" s="13" t="s">
        <v>45</v>
      </c>
      <c r="N54" s="13" t="s">
        <v>44</v>
      </c>
      <c r="O54" s="13" t="s">
        <v>44</v>
      </c>
      <c r="P54" s="13" t="s">
        <v>46</v>
      </c>
      <c r="Q54" s="13" t="s">
        <v>46</v>
      </c>
      <c r="R54" s="13" t="s">
        <v>44</v>
      </c>
      <c r="S54" s="13" t="s">
        <v>46</v>
      </c>
      <c r="T54" s="13" t="s">
        <v>46</v>
      </c>
      <c r="U54" s="13" t="s">
        <v>43</v>
      </c>
      <c r="V54" s="13" t="s">
        <v>44</v>
      </c>
      <c r="W54" s="13" t="s">
        <v>43</v>
      </c>
      <c r="X54" s="13" t="s">
        <v>43</v>
      </c>
      <c r="Y54" s="13" t="s">
        <v>45</v>
      </c>
      <c r="Z54" s="13" t="s">
        <v>44</v>
      </c>
      <c r="AA54" s="13" t="s">
        <v>43</v>
      </c>
      <c r="AB54" s="13" t="s">
        <v>45</v>
      </c>
      <c r="AC54" s="13" t="s">
        <v>45</v>
      </c>
      <c r="AD54" s="13" t="s">
        <v>44</v>
      </c>
      <c r="AE54" s="13" t="s">
        <v>46</v>
      </c>
      <c r="AF54" s="13" t="s">
        <v>45</v>
      </c>
      <c r="AG54" s="13" t="s">
        <v>46</v>
      </c>
      <c r="AH54" s="13" t="s">
        <v>45</v>
      </c>
    </row>
    <row r="55" ht="24.0" customHeight="1">
      <c r="A55" s="31">
        <v>2.023905495E9</v>
      </c>
      <c r="B55" s="32" t="s">
        <v>99</v>
      </c>
      <c r="C55" s="33" t="s">
        <v>94</v>
      </c>
      <c r="D55" s="17">
        <f>IF(UPPER(E55)=UPPER(E5),E4,0)+IF(UPPER(F55)=UPPER(F5),F4,0)+IF(UPPER(G55)=UPPER(G5),G4,0)+IF(UPPER(H55)=UPPER(H5),H4,0)+IF(UPPER(I55)=UPPER(I5),I4,0)+IF(UPPER(J55)=UPPER(J5),J4,0)+IF(UPPER(K55)=UPPER(K5),K4,0)+IF(UPPER(L55)=UPPER(L5),L4,0)+IF(UPPER(M55)=UPPER(M5),M4,0)+IF(UPPER(N55)=UPPER(N5),N4,0)+IF(UPPER(O55)=UPPER(O5),O4,0)+IF(UPPER(P55)=UPPER(P5),P4,0)+IF(UPPER(Q55)=UPPER(Q5),Q4,0)+IF(UPPER(R55)=UPPER(R5),R4,0)+IF(UPPER(S55)=UPPER(S5),S4,0)+IF(UPPER(T55)=UPPER(T5),T4,0)+IF(UPPER(U55)=UPPER(U5),U4,0)+IF(UPPER(V55)=UPPER(V5),V4,0)+IF(UPPER(W55)=UPPER(W5),W4,0)+IF(UPPER(X55)=UPPER(X5),X4,0)+IF(UPPER(Y55)=UPPER(Y5),Y4,0)+IF(UPPER(Z55)=UPPER(Z5),Z4,0)+IF(UPPER(AA55)=UPPER(AA5),AA4,0)+IF(UPPER(AB55)=UPPER(AB5),AB4,0)+IF(UPPER(AC55)=UPPER(AC5),AC4,0)+IF(UPPER(AD55)=UPPER(AD5),AD4,0)+IF(UPPER(AE55)=UPPER(AE5),AE4,0)+IF(UPPER(AF55)=UPPER(AF5),AF4,0)+IF(UPPER(AG55)=UPPER(AG5),AG4,0)+IF(UPPER(AH55)=UPPER(AH5),AH4,0)</f>
        <v>77</v>
      </c>
      <c r="E55" s="18" t="s">
        <v>43</v>
      </c>
      <c r="F55" s="18" t="s">
        <v>44</v>
      </c>
      <c r="G55" s="18" t="s">
        <v>43</v>
      </c>
      <c r="H55" s="18" t="s">
        <v>45</v>
      </c>
      <c r="I55" s="18" t="s">
        <v>46</v>
      </c>
      <c r="J55" s="18" t="s">
        <v>46</v>
      </c>
      <c r="K55" s="18" t="s">
        <v>43</v>
      </c>
      <c r="L55" s="18" t="s">
        <v>45</v>
      </c>
      <c r="M55" s="18" t="s">
        <v>43</v>
      </c>
      <c r="N55" s="18" t="s">
        <v>44</v>
      </c>
      <c r="O55" s="18" t="s">
        <v>43</v>
      </c>
      <c r="P55" s="18" t="s">
        <v>43</v>
      </c>
      <c r="Q55" s="18" t="s">
        <v>46</v>
      </c>
      <c r="R55" s="18" t="s">
        <v>44</v>
      </c>
      <c r="S55" s="18" t="s">
        <v>43</v>
      </c>
      <c r="T55" s="18" t="s">
        <v>45</v>
      </c>
      <c r="U55" s="18" t="s">
        <v>46</v>
      </c>
      <c r="V55" s="18" t="s">
        <v>44</v>
      </c>
      <c r="W55" s="18" t="s">
        <v>43</v>
      </c>
      <c r="X55" s="18" t="s">
        <v>45</v>
      </c>
      <c r="Y55" s="18" t="s">
        <v>44</v>
      </c>
      <c r="Z55" s="18" t="s">
        <v>44</v>
      </c>
      <c r="AA55" s="18" t="s">
        <v>43</v>
      </c>
      <c r="AB55" s="18" t="s">
        <v>45</v>
      </c>
      <c r="AC55" s="18" t="s">
        <v>45</v>
      </c>
      <c r="AD55" s="18" t="s">
        <v>46</v>
      </c>
      <c r="AE55" s="18" t="s">
        <v>43</v>
      </c>
      <c r="AF55" s="18" t="s">
        <v>45</v>
      </c>
      <c r="AG55" s="18" t="s">
        <v>46</v>
      </c>
      <c r="AH55" s="18" t="s">
        <v>44</v>
      </c>
    </row>
    <row r="56" ht="15.75" customHeight="1"/>
    <row r="57" ht="24.0" customHeight="1">
      <c r="A57" s="34" t="s">
        <v>100</v>
      </c>
      <c r="B57" s="35"/>
      <c r="C57" s="36"/>
      <c r="D57" s="36">
        <f>IF(COUNTA(A6:A55)&gt;0,AVERAGEIF(D6:D55,"&lt;&gt;0"),"")</f>
        <v>58.48979592</v>
      </c>
      <c r="E57" s="37">
        <f t="shared" ref="E57:AH57" si="1">IF(COUNTA(E6:E55)&gt;0,COUNTIF(E6:E55,E5)/COUNTA(E6:E55),"")</f>
        <v>0.387755102</v>
      </c>
      <c r="F57" s="37">
        <f t="shared" si="1"/>
        <v>0.9795918367</v>
      </c>
      <c r="G57" s="37">
        <f t="shared" si="1"/>
        <v>0.7551020408</v>
      </c>
      <c r="H57" s="37">
        <f t="shared" si="1"/>
        <v>0.9183673469</v>
      </c>
      <c r="I57" s="37">
        <f t="shared" si="1"/>
        <v>0.8775510204</v>
      </c>
      <c r="J57" s="37">
        <f t="shared" si="1"/>
        <v>0.2857142857</v>
      </c>
      <c r="K57" s="37">
        <f t="shared" si="1"/>
        <v>0.9387755102</v>
      </c>
      <c r="L57" s="37">
        <f t="shared" si="1"/>
        <v>0.8571428571</v>
      </c>
      <c r="M57" s="37">
        <f t="shared" si="1"/>
        <v>0.6326530612</v>
      </c>
      <c r="N57" s="37">
        <f t="shared" si="1"/>
        <v>0.4285714286</v>
      </c>
      <c r="O57" s="37">
        <f t="shared" si="1"/>
        <v>0.6734693878</v>
      </c>
      <c r="P57" s="37">
        <f t="shared" si="1"/>
        <v>0.04081632653</v>
      </c>
      <c r="Q57" s="37">
        <f t="shared" si="1"/>
        <v>0.7551020408</v>
      </c>
      <c r="R57" s="37">
        <f t="shared" si="1"/>
        <v>0.8163265306</v>
      </c>
      <c r="S57" s="37">
        <f t="shared" si="1"/>
        <v>0.8571428571</v>
      </c>
      <c r="T57" s="37">
        <f t="shared" si="1"/>
        <v>0.2653061224</v>
      </c>
      <c r="U57" s="37">
        <f t="shared" si="1"/>
        <v>0.3673469388</v>
      </c>
      <c r="V57" s="37">
        <f t="shared" si="1"/>
        <v>0.6326530612</v>
      </c>
      <c r="W57" s="37">
        <f t="shared" si="1"/>
        <v>0.7142857143</v>
      </c>
      <c r="X57" s="37">
        <f t="shared" si="1"/>
        <v>0.2244897959</v>
      </c>
      <c r="Y57" s="37">
        <f t="shared" si="1"/>
        <v>0.1632653061</v>
      </c>
      <c r="Z57" s="37">
        <f t="shared" si="1"/>
        <v>0.7551020408</v>
      </c>
      <c r="AA57" s="37">
        <f t="shared" si="1"/>
        <v>0.6326530612</v>
      </c>
      <c r="AB57" s="37">
        <f t="shared" si="1"/>
        <v>0.9183673469</v>
      </c>
      <c r="AC57" s="37">
        <f t="shared" si="1"/>
        <v>0.3265306122</v>
      </c>
      <c r="AD57" s="37">
        <f t="shared" si="1"/>
        <v>0.4081632653</v>
      </c>
      <c r="AE57" s="37">
        <f t="shared" si="1"/>
        <v>0.7142857143</v>
      </c>
      <c r="AF57" s="37">
        <f t="shared" si="1"/>
        <v>0.8775510204</v>
      </c>
      <c r="AG57" s="37">
        <f t="shared" si="1"/>
        <v>0.2857142857</v>
      </c>
      <c r="AH57" s="37">
        <f t="shared" si="1"/>
        <v>0.3265306122</v>
      </c>
    </row>
    <row r="58" ht="24.0" customHeight="1">
      <c r="A58" s="38" t="s">
        <v>101</v>
      </c>
      <c r="B58" s="35"/>
      <c r="C58" s="39"/>
      <c r="D58" s="39">
        <f>IF(COUNTA(D6:D55)&gt;0,MAX(D6:D55),"")</f>
        <v>79</v>
      </c>
    </row>
    <row r="59" ht="24.0" customHeight="1">
      <c r="A59" s="38" t="s">
        <v>102</v>
      </c>
      <c r="B59" s="35"/>
      <c r="C59" s="39"/>
      <c r="D59" s="39">
        <f>IF(COUNTA(D6:D55)&gt;0,MIN(D6:D55),"")</f>
        <v>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5">
    <mergeCell ref="A1:AH1"/>
    <mergeCell ref="A2:AH2"/>
    <mergeCell ref="A57:B57"/>
    <mergeCell ref="A58:B58"/>
    <mergeCell ref="A59:B59"/>
  </mergeCells>
  <conditionalFormatting sqref="E6:AH55">
    <cfRule type="expression" dxfId="0" priority="1" stopIfTrue="1">
      <formula>E6=E$5</formula>
    </cfRule>
  </conditionalFormatting>
  <conditionalFormatting sqref="E6:AH55">
    <cfRule type="expression" dxfId="1" priority="2" stopIfTrue="1">
      <formula>AND(E6&lt;&gt;"", E6&lt;&gt;E$5)</formula>
    </cfRule>
  </conditionalFormatting>
  <conditionalFormatting sqref="E6:E55">
    <cfRule type="expression" dxfId="2" priority="3">
      <formula>AND(E6&lt;&gt;"",UPPER(E6)=UPPER(E5))</formula>
    </cfRule>
  </conditionalFormatting>
  <conditionalFormatting sqref="E6:E55">
    <cfRule type="expression" dxfId="3" priority="4">
      <formula>AND(E6&lt;&gt;"",UPPER(E6)&lt;&gt;UPPER(E5))</formula>
    </cfRule>
  </conditionalFormatting>
  <conditionalFormatting sqref="F6:F55">
    <cfRule type="expression" dxfId="2" priority="5">
      <formula>AND(F6&lt;&gt;"",UPPER(F6)=UPPER(F5))</formula>
    </cfRule>
  </conditionalFormatting>
  <conditionalFormatting sqref="F6:F55">
    <cfRule type="expression" dxfId="3" priority="6">
      <formula>AND(F6&lt;&gt;"",UPPER(F6)&lt;&gt;UPPER(F5))</formula>
    </cfRule>
  </conditionalFormatting>
  <conditionalFormatting sqref="G6:G55">
    <cfRule type="expression" dxfId="2" priority="7">
      <formula>AND(G6&lt;&gt;"",UPPER(G6)=UPPER(G5))</formula>
    </cfRule>
  </conditionalFormatting>
  <conditionalFormatting sqref="G6:G55">
    <cfRule type="expression" dxfId="3" priority="8">
      <formula>AND(G6&lt;&gt;"",UPPER(G6)&lt;&gt;UPPER(G5))</formula>
    </cfRule>
  </conditionalFormatting>
  <conditionalFormatting sqref="H6:H55">
    <cfRule type="expression" dxfId="2" priority="9">
      <formula>AND(H6&lt;&gt;"",UPPER(H6)=UPPER(H5))</formula>
    </cfRule>
  </conditionalFormatting>
  <conditionalFormatting sqref="H6:H55">
    <cfRule type="expression" dxfId="3" priority="10">
      <formula>AND(H6&lt;&gt;"",UPPER(H6)&lt;&gt;UPPER(H5))</formula>
    </cfRule>
  </conditionalFormatting>
  <conditionalFormatting sqref="I6:I55">
    <cfRule type="expression" dxfId="2" priority="11">
      <formula>AND(I6&lt;&gt;"",UPPER(I6)=UPPER(I5))</formula>
    </cfRule>
  </conditionalFormatting>
  <conditionalFormatting sqref="I6:I55">
    <cfRule type="expression" dxfId="3" priority="12">
      <formula>AND(I6&lt;&gt;"",UPPER(I6)&lt;&gt;UPPER(I5))</formula>
    </cfRule>
  </conditionalFormatting>
  <conditionalFormatting sqref="J6:J55">
    <cfRule type="expression" dxfId="2" priority="13">
      <formula>AND(J6&lt;&gt;"",UPPER(J6)=UPPER(J5))</formula>
    </cfRule>
  </conditionalFormatting>
  <conditionalFormatting sqref="J6:J55">
    <cfRule type="expression" dxfId="3" priority="14">
      <formula>AND(J6&lt;&gt;"",UPPER(J6)&lt;&gt;UPPER(J5))</formula>
    </cfRule>
  </conditionalFormatting>
  <conditionalFormatting sqref="K6:K55">
    <cfRule type="expression" dxfId="2" priority="15">
      <formula>AND(K6&lt;&gt;"",UPPER(K6)=UPPER(K5))</formula>
    </cfRule>
  </conditionalFormatting>
  <conditionalFormatting sqref="K6:K55">
    <cfRule type="expression" dxfId="3" priority="16">
      <formula>AND(K6&lt;&gt;"",UPPER(K6)&lt;&gt;UPPER(K5))</formula>
    </cfRule>
  </conditionalFormatting>
  <conditionalFormatting sqref="L6:L55">
    <cfRule type="expression" dxfId="2" priority="17">
      <formula>AND(L6&lt;&gt;"",UPPER(L6)=UPPER(L5))</formula>
    </cfRule>
  </conditionalFormatting>
  <conditionalFormatting sqref="L6:L55">
    <cfRule type="expression" dxfId="3" priority="18">
      <formula>AND(L6&lt;&gt;"",UPPER(L6)&lt;&gt;UPPER(L5))</formula>
    </cfRule>
  </conditionalFormatting>
  <conditionalFormatting sqref="M6:M55">
    <cfRule type="expression" dxfId="2" priority="19">
      <formula>AND(M6&lt;&gt;"",UPPER(M6)=UPPER(M5))</formula>
    </cfRule>
  </conditionalFormatting>
  <conditionalFormatting sqref="M6:M55">
    <cfRule type="expression" dxfId="3" priority="20">
      <formula>AND(M6&lt;&gt;"",UPPER(M6)&lt;&gt;UPPER(M5))</formula>
    </cfRule>
  </conditionalFormatting>
  <conditionalFormatting sqref="N6:N55">
    <cfRule type="expression" dxfId="2" priority="21">
      <formula>AND(N6&lt;&gt;"",UPPER(N6)=UPPER(N5))</formula>
    </cfRule>
  </conditionalFormatting>
  <conditionalFormatting sqref="N6:N55">
    <cfRule type="expression" dxfId="3" priority="22">
      <formula>AND(N6&lt;&gt;"",UPPER(N6)&lt;&gt;UPPER(N5))</formula>
    </cfRule>
  </conditionalFormatting>
  <conditionalFormatting sqref="O6:O55">
    <cfRule type="expression" dxfId="2" priority="23">
      <formula>AND(O6&lt;&gt;"",UPPER(O6)=UPPER(O5))</formula>
    </cfRule>
  </conditionalFormatting>
  <conditionalFormatting sqref="O6:O55">
    <cfRule type="expression" dxfId="3" priority="24">
      <formula>AND(O6&lt;&gt;"",UPPER(O6)&lt;&gt;UPPER(O5))</formula>
    </cfRule>
  </conditionalFormatting>
  <conditionalFormatting sqref="P6:P55">
    <cfRule type="expression" dxfId="2" priority="25">
      <formula>AND(P6&lt;&gt;"",UPPER(P6)=UPPER(P5))</formula>
    </cfRule>
  </conditionalFormatting>
  <conditionalFormatting sqref="P6:P55">
    <cfRule type="expression" dxfId="3" priority="26">
      <formula>AND(P6&lt;&gt;"",UPPER(P6)&lt;&gt;UPPER(P5))</formula>
    </cfRule>
  </conditionalFormatting>
  <conditionalFormatting sqref="Q6:Q55">
    <cfRule type="expression" dxfId="2" priority="27">
      <formula>AND(Q6&lt;&gt;"",UPPER(Q6)=UPPER(Q5))</formula>
    </cfRule>
  </conditionalFormatting>
  <conditionalFormatting sqref="Q6:Q55">
    <cfRule type="expression" dxfId="3" priority="28">
      <formula>AND(Q6&lt;&gt;"",UPPER(Q6)&lt;&gt;UPPER(Q5))</formula>
    </cfRule>
  </conditionalFormatting>
  <conditionalFormatting sqref="R6:R55">
    <cfRule type="expression" dxfId="2" priority="29">
      <formula>AND(R6&lt;&gt;"",UPPER(R6)=UPPER(R5))</formula>
    </cfRule>
  </conditionalFormatting>
  <conditionalFormatting sqref="R6:R55">
    <cfRule type="expression" dxfId="3" priority="30">
      <formula>AND(R6&lt;&gt;"",UPPER(R6)&lt;&gt;UPPER(R5))</formula>
    </cfRule>
  </conditionalFormatting>
  <conditionalFormatting sqref="S6:S55">
    <cfRule type="expression" dxfId="2" priority="31">
      <formula>AND(S6&lt;&gt;"",UPPER(S6)=UPPER(S5))</formula>
    </cfRule>
  </conditionalFormatting>
  <conditionalFormatting sqref="S6:S55">
    <cfRule type="expression" dxfId="3" priority="32">
      <formula>AND(S6&lt;&gt;"",UPPER(S6)&lt;&gt;UPPER(S5))</formula>
    </cfRule>
  </conditionalFormatting>
  <conditionalFormatting sqref="T6:T55">
    <cfRule type="expression" dxfId="2" priority="33">
      <formula>AND(T6&lt;&gt;"",UPPER(T6)=UPPER(T5))</formula>
    </cfRule>
  </conditionalFormatting>
  <conditionalFormatting sqref="T6:T55">
    <cfRule type="expression" dxfId="3" priority="34">
      <formula>AND(T6&lt;&gt;"",UPPER(T6)&lt;&gt;UPPER(T5))</formula>
    </cfRule>
  </conditionalFormatting>
  <conditionalFormatting sqref="U6:U55">
    <cfRule type="expression" dxfId="2" priority="35">
      <formula>AND(U6&lt;&gt;"",UPPER(U6)=UPPER(U5))</formula>
    </cfRule>
  </conditionalFormatting>
  <conditionalFormatting sqref="U6:U55">
    <cfRule type="expression" dxfId="3" priority="36">
      <formula>AND(U6&lt;&gt;"",UPPER(U6)&lt;&gt;UPPER(U5))</formula>
    </cfRule>
  </conditionalFormatting>
  <conditionalFormatting sqref="V6:V55">
    <cfRule type="expression" dxfId="2" priority="37">
      <formula>AND(V6&lt;&gt;"",UPPER(V6)=UPPER(V5))</formula>
    </cfRule>
  </conditionalFormatting>
  <conditionalFormatting sqref="V6:V55">
    <cfRule type="expression" dxfId="3" priority="38">
      <formula>AND(V6&lt;&gt;"",UPPER(V6)&lt;&gt;UPPER(V5))</formula>
    </cfRule>
  </conditionalFormatting>
  <conditionalFormatting sqref="W6:W55">
    <cfRule type="expression" dxfId="2" priority="39">
      <formula>AND(W6&lt;&gt;"",UPPER(W6)=UPPER(W5))</formula>
    </cfRule>
  </conditionalFormatting>
  <conditionalFormatting sqref="W6:W55">
    <cfRule type="expression" dxfId="3" priority="40">
      <formula>AND(W6&lt;&gt;"",UPPER(W6)&lt;&gt;UPPER(W5))</formula>
    </cfRule>
  </conditionalFormatting>
  <conditionalFormatting sqref="X6:X55">
    <cfRule type="expression" dxfId="2" priority="41">
      <formula>AND(X6&lt;&gt;"",UPPER(X6)=UPPER(X5))</formula>
    </cfRule>
  </conditionalFormatting>
  <conditionalFormatting sqref="X6:X55">
    <cfRule type="expression" dxfId="3" priority="42">
      <formula>AND(X6&lt;&gt;"",UPPER(X6)&lt;&gt;UPPER(X5))</formula>
    </cfRule>
  </conditionalFormatting>
  <conditionalFormatting sqref="Y6:Y55">
    <cfRule type="expression" dxfId="2" priority="43">
      <formula>AND(Y6&lt;&gt;"",UPPER(Y6)=UPPER(Y5))</formula>
    </cfRule>
  </conditionalFormatting>
  <conditionalFormatting sqref="Y6:Y55">
    <cfRule type="expression" dxfId="3" priority="44">
      <formula>AND(Y6&lt;&gt;"",UPPER(Y6)&lt;&gt;UPPER(Y5))</formula>
    </cfRule>
  </conditionalFormatting>
  <conditionalFormatting sqref="Z6:Z55">
    <cfRule type="expression" dxfId="2" priority="45">
      <formula>AND(Z6&lt;&gt;"",UPPER(Z6)=UPPER(Z5))</formula>
    </cfRule>
  </conditionalFormatting>
  <conditionalFormatting sqref="Z6:Z55">
    <cfRule type="expression" dxfId="3" priority="46">
      <formula>AND(Z6&lt;&gt;"",UPPER(Z6)&lt;&gt;UPPER(Z5))</formula>
    </cfRule>
  </conditionalFormatting>
  <conditionalFormatting sqref="AA6:AA55">
    <cfRule type="expression" dxfId="2" priority="47">
      <formula>AND(AA6&lt;&gt;"",UPPER(AA6)=UPPER(AA5))</formula>
    </cfRule>
  </conditionalFormatting>
  <conditionalFormatting sqref="AA6:AA55">
    <cfRule type="expression" dxfId="3" priority="48">
      <formula>AND(AA6&lt;&gt;"",UPPER(AA6)&lt;&gt;UPPER(AA5))</formula>
    </cfRule>
  </conditionalFormatting>
  <conditionalFormatting sqref="AB6:AB55">
    <cfRule type="expression" dxfId="2" priority="49">
      <formula>AND(AB6&lt;&gt;"",UPPER(AB6)=UPPER(AB5))</formula>
    </cfRule>
  </conditionalFormatting>
  <conditionalFormatting sqref="AB6:AB55">
    <cfRule type="expression" dxfId="3" priority="50">
      <formula>AND(AB6&lt;&gt;"",UPPER(AB6)&lt;&gt;UPPER(AB5))</formula>
    </cfRule>
  </conditionalFormatting>
  <conditionalFormatting sqref="AC6:AC55">
    <cfRule type="expression" dxfId="2" priority="51">
      <formula>AND(AC6&lt;&gt;"",UPPER(AC6)=UPPER(AC5))</formula>
    </cfRule>
  </conditionalFormatting>
  <conditionalFormatting sqref="AC6:AC55">
    <cfRule type="expression" dxfId="3" priority="52">
      <formula>AND(AC6&lt;&gt;"",UPPER(AC6)&lt;&gt;UPPER(AC5))</formula>
    </cfRule>
  </conditionalFormatting>
  <conditionalFormatting sqref="AD6:AD55">
    <cfRule type="expression" dxfId="2" priority="53">
      <formula>AND(AD6&lt;&gt;"",UPPER(AD6)=UPPER(AD5))</formula>
    </cfRule>
  </conditionalFormatting>
  <conditionalFormatting sqref="AD6:AD55">
    <cfRule type="expression" dxfId="3" priority="54">
      <formula>AND(AD6&lt;&gt;"",UPPER(AD6)&lt;&gt;UPPER(AD5))</formula>
    </cfRule>
  </conditionalFormatting>
  <conditionalFormatting sqref="AE6:AE55">
    <cfRule type="expression" dxfId="2" priority="55">
      <formula>AND(AE6&lt;&gt;"",UPPER(AE6)=UPPER(AE5))</formula>
    </cfRule>
  </conditionalFormatting>
  <conditionalFormatting sqref="AE6:AE55">
    <cfRule type="expression" dxfId="3" priority="56">
      <formula>AND(AE6&lt;&gt;"",UPPER(AE6)&lt;&gt;UPPER(AE5))</formula>
    </cfRule>
  </conditionalFormatting>
  <conditionalFormatting sqref="AF6:AF55">
    <cfRule type="expression" dxfId="2" priority="57">
      <formula>AND(AF6&lt;&gt;"",UPPER(AF6)=UPPER(AF5))</formula>
    </cfRule>
  </conditionalFormatting>
  <conditionalFormatting sqref="AF6:AF55">
    <cfRule type="expression" dxfId="3" priority="58">
      <formula>AND(AF6&lt;&gt;"",UPPER(AF6)&lt;&gt;UPPER(AF5))</formula>
    </cfRule>
  </conditionalFormatting>
  <conditionalFormatting sqref="AG6:AG55">
    <cfRule type="expression" dxfId="2" priority="59">
      <formula>AND(AG6&lt;&gt;"",UPPER(AG6)=UPPER(AG5))</formula>
    </cfRule>
  </conditionalFormatting>
  <conditionalFormatting sqref="AG6:AG55">
    <cfRule type="expression" dxfId="3" priority="60">
      <formula>AND(AG6&lt;&gt;"",UPPER(AG6)&lt;&gt;UPPER(AG5))</formula>
    </cfRule>
  </conditionalFormatting>
  <conditionalFormatting sqref="AH6:AH55">
    <cfRule type="expression" dxfId="2" priority="61">
      <formula>AND(AH6&lt;&gt;"",UPPER(AH6)=UPPER(AH5))</formula>
    </cfRule>
  </conditionalFormatting>
  <conditionalFormatting sqref="AH6:AH55">
    <cfRule type="expression" dxfId="3" priority="62">
      <formula>AND(AH6&lt;&gt;"",UPPER(AH6)&lt;&gt;UPPER(AH5))</formula>
    </cfRule>
  </conditionalFormatting>
  <dataValidations>
    <dataValidation type="list" allowBlank="1" sqref="E6:AH55">
      <formula1>"A,B,C,D,a,b,c,d"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/>
  <cols>
    <col customWidth="1" min="1" max="1" width="12.25"/>
    <col customWidth="1" min="2" max="2" width="21.0"/>
    <col customWidth="1" min="3" max="4" width="11.38"/>
    <col customWidth="1" min="5" max="34" width="5.13"/>
  </cols>
  <sheetData>
    <row r="1" ht="39.75" customHeight="1">
      <c r="A1" s="1" t="s">
        <v>103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27.75" customHeight="1">
      <c r="A3" s="5" t="s">
        <v>2</v>
      </c>
      <c r="B3" s="5" t="s">
        <v>3</v>
      </c>
      <c r="C3" s="6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</row>
    <row r="4" ht="19.5" customHeight="1">
      <c r="A4" s="7" t="s">
        <v>36</v>
      </c>
      <c r="B4" s="8"/>
      <c r="C4" s="9"/>
      <c r="D4" s="9">
        <v>100.0</v>
      </c>
      <c r="E4" s="7">
        <v>3.0</v>
      </c>
      <c r="F4" s="7">
        <v>3.0</v>
      </c>
      <c r="G4" s="7">
        <v>3.0</v>
      </c>
      <c r="H4" s="7">
        <v>3.0</v>
      </c>
      <c r="I4" s="7">
        <v>3.0</v>
      </c>
      <c r="J4" s="7">
        <v>3.0</v>
      </c>
      <c r="K4" s="7">
        <v>3.0</v>
      </c>
      <c r="L4" s="7">
        <v>3.0</v>
      </c>
      <c r="M4" s="7">
        <v>3.0</v>
      </c>
      <c r="N4" s="7">
        <v>3.0</v>
      </c>
      <c r="O4" s="7">
        <v>4.0</v>
      </c>
      <c r="P4" s="7">
        <v>4.0</v>
      </c>
      <c r="Q4" s="7">
        <v>3.0</v>
      </c>
      <c r="R4" s="7">
        <v>4.0</v>
      </c>
      <c r="S4" s="7">
        <v>3.0</v>
      </c>
      <c r="T4" s="7">
        <v>3.0</v>
      </c>
      <c r="U4" s="7">
        <v>3.0</v>
      </c>
      <c r="V4" s="7">
        <v>3.0</v>
      </c>
      <c r="W4" s="7">
        <v>3.0</v>
      </c>
      <c r="X4" s="7">
        <v>4.0</v>
      </c>
      <c r="Y4" s="7">
        <v>3.0</v>
      </c>
      <c r="Z4" s="7">
        <v>4.0</v>
      </c>
      <c r="AA4" s="7">
        <v>4.0</v>
      </c>
      <c r="AB4" s="7">
        <v>3.0</v>
      </c>
      <c r="AC4" s="7">
        <v>4.0</v>
      </c>
      <c r="AD4" s="7">
        <v>4.0</v>
      </c>
      <c r="AE4" s="7">
        <v>3.0</v>
      </c>
      <c r="AF4" s="7">
        <v>4.0</v>
      </c>
      <c r="AG4" s="7">
        <v>3.0</v>
      </c>
      <c r="AH4" s="7">
        <v>4.0</v>
      </c>
    </row>
    <row r="5" ht="24.0" customHeight="1">
      <c r="A5" s="10" t="s">
        <v>37</v>
      </c>
      <c r="B5" s="11"/>
      <c r="C5" s="11"/>
      <c r="D5" s="11"/>
      <c r="E5" s="12" t="s">
        <v>39</v>
      </c>
      <c r="F5" s="12" t="s">
        <v>38</v>
      </c>
      <c r="G5" s="12" t="s">
        <v>41</v>
      </c>
      <c r="H5" s="12" t="s">
        <v>38</v>
      </c>
      <c r="I5" s="12" t="s">
        <v>39</v>
      </c>
      <c r="J5" s="12" t="s">
        <v>40</v>
      </c>
      <c r="K5" s="12" t="s">
        <v>38</v>
      </c>
      <c r="L5" s="12" t="s">
        <v>41</v>
      </c>
      <c r="M5" s="12" t="s">
        <v>39</v>
      </c>
      <c r="N5" s="12" t="s">
        <v>40</v>
      </c>
      <c r="O5" s="12" t="s">
        <v>38</v>
      </c>
      <c r="P5" s="12" t="s">
        <v>39</v>
      </c>
      <c r="Q5" s="12" t="s">
        <v>41</v>
      </c>
      <c r="R5" s="12" t="s">
        <v>40</v>
      </c>
      <c r="S5" s="12" t="s">
        <v>38</v>
      </c>
      <c r="T5" s="12" t="s">
        <v>39</v>
      </c>
      <c r="U5" s="12" t="s">
        <v>41</v>
      </c>
      <c r="V5" s="12" t="s">
        <v>40</v>
      </c>
      <c r="W5" s="12" t="s">
        <v>38</v>
      </c>
      <c r="X5" s="12" t="s">
        <v>39</v>
      </c>
      <c r="Y5" s="12" t="s">
        <v>41</v>
      </c>
      <c r="Z5" s="12" t="s">
        <v>40</v>
      </c>
      <c r="AA5" s="12" t="s">
        <v>39</v>
      </c>
      <c r="AB5" s="12" t="s">
        <v>38</v>
      </c>
      <c r="AC5" s="12" t="s">
        <v>41</v>
      </c>
      <c r="AD5" s="12" t="s">
        <v>40</v>
      </c>
      <c r="AE5" s="12" t="s">
        <v>39</v>
      </c>
      <c r="AF5" s="12" t="s">
        <v>38</v>
      </c>
      <c r="AG5" s="12" t="s">
        <v>41</v>
      </c>
      <c r="AH5" s="12" t="s">
        <v>40</v>
      </c>
    </row>
    <row r="6" ht="24.0" customHeight="1">
      <c r="A6" s="40">
        <v>2.024905118E9</v>
      </c>
      <c r="B6" s="14" t="s">
        <v>104</v>
      </c>
      <c r="C6" s="15" t="str">
        <f>IFERROR(__xludf.DUMMYFUNCTION("IFERROR(XLOOKUP(A6, IMPORTRANGE(""1dfbuNQ3U1XqtdPB70d4KK-T2neyc0ZV0mzl9Q33XU-4"", ""web!A:A""), IMPORTRANGE(""1dfbuNQ3U1XqtdPB70d4KK-T2neyc0ZV0mzl9Q33XU-4"", ""web!B:B"")), """")"),"程文烨")</f>
        <v>程文烨</v>
      </c>
      <c r="D6" s="15">
        <f>IF(UPPER(E6)=UPPER(E5),E4,0)+IF(UPPER(F6)=UPPER(F5),F4,0)+IF(UPPER(G6)=UPPER(G5),G4,0)+IF(UPPER(H6)=UPPER(H5),H4,0)+IF(UPPER(I6)=UPPER(I5),I4,0)+IF(UPPER(J6)=UPPER(J5),J4,0)+IF(UPPER(K6)=UPPER(K5),K4,0)+IF(UPPER(L6)=UPPER(L5),L4,0)+IF(UPPER(M6)=UPPER(M5),M4,0)+IF(UPPER(N6)=UPPER(N5),N4,0)+IF(UPPER(O6)=UPPER(O5),O4,0)+IF(UPPER(P6)=UPPER(P5),P4,0)+IF(UPPER(Q6)=UPPER(Q5),Q4,0)+IF(UPPER(R6)=UPPER(R5),R4,0)+IF(UPPER(S6)=UPPER(S5),S4,0)+IF(UPPER(T6)=UPPER(T5),T4,0)+IF(UPPER(U6)=UPPER(U5),U4,0)+IF(UPPER(V6)=UPPER(V5),V4,0)+IF(UPPER(W6)=UPPER(W5),W4,0)+IF(UPPER(X6)=UPPER(X5),X4,0)+IF(UPPER(Y6)=UPPER(Y5),Y4,0)+IF(UPPER(Z6)=UPPER(Z5),Z4,0)+IF(UPPER(AA6)=UPPER(AA5),AA4,0)+IF(UPPER(AB6)=UPPER(AB5),AB4,0)+IF(UPPER(AC6)=UPPER(AC5),AC4,0)+IF(UPPER(AD6)=UPPER(AD5),AD4,0)+IF(UPPER(AE6)=UPPER(AE5),AE4,0)+IF(UPPER(AF6)=UPPER(AF5),AF4,0)+IF(UPPER(AG6)=UPPER(AG5),AG4,0)+IF(UPPER(AH6)=UPPER(AH5),AH4,0)</f>
        <v>68</v>
      </c>
      <c r="E6" s="40" t="s">
        <v>44</v>
      </c>
      <c r="F6" s="40" t="s">
        <v>46</v>
      </c>
      <c r="G6" s="40" t="s">
        <v>45</v>
      </c>
      <c r="H6" s="40" t="s">
        <v>46</v>
      </c>
      <c r="I6" s="40" t="s">
        <v>44</v>
      </c>
      <c r="J6" s="40" t="s">
        <v>46</v>
      </c>
      <c r="K6" s="40" t="s">
        <v>46</v>
      </c>
      <c r="L6" s="40" t="s">
        <v>45</v>
      </c>
      <c r="M6" s="40" t="s">
        <v>44</v>
      </c>
      <c r="N6" s="40" t="s">
        <v>46</v>
      </c>
      <c r="O6" s="40" t="s">
        <v>43</v>
      </c>
      <c r="P6" s="40" t="s">
        <v>44</v>
      </c>
      <c r="Q6" s="40" t="s">
        <v>45</v>
      </c>
      <c r="R6" s="40" t="s">
        <v>43</v>
      </c>
      <c r="S6" s="40" t="s">
        <v>46</v>
      </c>
      <c r="T6" s="40" t="s">
        <v>46</v>
      </c>
      <c r="U6" s="40" t="s">
        <v>45</v>
      </c>
      <c r="V6" s="40" t="s">
        <v>43</v>
      </c>
      <c r="W6" s="40" t="s">
        <v>44</v>
      </c>
      <c r="X6" s="40" t="s">
        <v>43</v>
      </c>
      <c r="Y6" s="40" t="s">
        <v>45</v>
      </c>
      <c r="Z6" s="40" t="s">
        <v>46</v>
      </c>
      <c r="AA6" s="40" t="s">
        <v>44</v>
      </c>
      <c r="AB6" s="40" t="s">
        <v>46</v>
      </c>
      <c r="AC6" s="40" t="s">
        <v>44</v>
      </c>
      <c r="AD6" s="40" t="s">
        <v>43</v>
      </c>
      <c r="AE6" s="40" t="s">
        <v>44</v>
      </c>
      <c r="AF6" s="40" t="s">
        <v>46</v>
      </c>
      <c r="AG6" s="40" t="s">
        <v>45</v>
      </c>
      <c r="AH6" s="40" t="s">
        <v>46</v>
      </c>
    </row>
    <row r="7" ht="24.0" customHeight="1">
      <c r="A7" s="40">
        <v>2.024902585E9</v>
      </c>
      <c r="B7" s="41" t="s">
        <v>105</v>
      </c>
      <c r="C7" s="17" t="str">
        <f>IFERROR(__xludf.DUMMYFUNCTION("IFERROR(XLOOKUP(A7, IMPORTRANGE(""1dfbuNQ3U1XqtdPB70d4KK-T2neyc0ZV0mzl9Q33XU-4"", ""web!A:A""), IMPORTRANGE(""1dfbuNQ3U1XqtdPB70d4KK-T2neyc0ZV0mzl9Q33XU-4"", ""web!B:B"")), """")"),"缪承浩")</f>
        <v>缪承浩</v>
      </c>
      <c r="D7" s="17">
        <f>IF(UPPER(E7)=UPPER(E5),E4,0)+IF(UPPER(F7)=UPPER(F5),F4,0)+IF(UPPER(G7)=UPPER(G5),G4,0)+IF(UPPER(H7)=UPPER(H5),H4,0)+IF(UPPER(I7)=UPPER(I5),I4,0)+IF(UPPER(J7)=UPPER(J5),J4,0)+IF(UPPER(K7)=UPPER(K5),K4,0)+IF(UPPER(L7)=UPPER(L5),L4,0)+IF(UPPER(M7)=UPPER(M5),M4,0)+IF(UPPER(N7)=UPPER(N5),N4,0)+IF(UPPER(O7)=UPPER(O5),O4,0)+IF(UPPER(P7)=UPPER(P5),P4,0)+IF(UPPER(Q7)=UPPER(Q5),Q4,0)+IF(UPPER(R7)=UPPER(R5),R4,0)+IF(UPPER(S7)=UPPER(S5),S4,0)+IF(UPPER(T7)=UPPER(T5),T4,0)+IF(UPPER(U7)=UPPER(U5),U4,0)+IF(UPPER(V7)=UPPER(V5),V4,0)+IF(UPPER(W7)=UPPER(W5),W4,0)+IF(UPPER(X7)=UPPER(X5),X4,0)+IF(UPPER(Y7)=UPPER(Y5),Y4,0)+IF(UPPER(Z7)=UPPER(Z5),Z4,0)+IF(UPPER(AA7)=UPPER(AA5),AA4,0)+IF(UPPER(AB7)=UPPER(AB5),AB4,0)+IF(UPPER(AC7)=UPPER(AC5),AC4,0)+IF(UPPER(AD7)=UPPER(AD5),AD4,0)+IF(UPPER(AE7)=UPPER(AE5),AE4,0)+IF(UPPER(AF7)=UPPER(AF5),AF4,0)+IF(UPPER(AG7)=UPPER(AG5),AG4,0)+IF(UPPER(AH7)=UPPER(AH5),AH4,0)</f>
        <v>63</v>
      </c>
      <c r="E7" s="28" t="s">
        <v>38</v>
      </c>
      <c r="F7" s="28" t="s">
        <v>46</v>
      </c>
      <c r="G7" s="28" t="s">
        <v>45</v>
      </c>
      <c r="H7" s="28" t="s">
        <v>46</v>
      </c>
      <c r="I7" s="28" t="s">
        <v>43</v>
      </c>
      <c r="J7" s="28" t="s">
        <v>46</v>
      </c>
      <c r="K7" s="28" t="s">
        <v>46</v>
      </c>
      <c r="L7" s="28" t="s">
        <v>45</v>
      </c>
      <c r="M7" s="28" t="s">
        <v>44</v>
      </c>
      <c r="N7" s="28" t="s">
        <v>46</v>
      </c>
      <c r="O7" s="28" t="s">
        <v>46</v>
      </c>
      <c r="P7" s="28" t="s">
        <v>44</v>
      </c>
      <c r="Q7" s="28" t="s">
        <v>45</v>
      </c>
      <c r="R7" s="28" t="s">
        <v>43</v>
      </c>
      <c r="S7" s="28" t="s">
        <v>46</v>
      </c>
      <c r="T7" s="28" t="s">
        <v>45</v>
      </c>
      <c r="U7" s="28" t="s">
        <v>43</v>
      </c>
      <c r="V7" s="28" t="s">
        <v>43</v>
      </c>
      <c r="W7" s="28" t="s">
        <v>44</v>
      </c>
      <c r="X7" s="28" t="s">
        <v>46</v>
      </c>
      <c r="Y7" s="28" t="s">
        <v>45</v>
      </c>
      <c r="Z7" s="28" t="s">
        <v>43</v>
      </c>
      <c r="AA7" s="28" t="s">
        <v>44</v>
      </c>
      <c r="AB7" s="28" t="s">
        <v>46</v>
      </c>
      <c r="AC7" s="28" t="s">
        <v>44</v>
      </c>
      <c r="AD7" s="28" t="s">
        <v>44</v>
      </c>
      <c r="AE7" s="28" t="s">
        <v>44</v>
      </c>
      <c r="AF7" s="28" t="s">
        <v>46</v>
      </c>
      <c r="AG7" s="28" t="s">
        <v>45</v>
      </c>
      <c r="AH7" s="28" t="s">
        <v>46</v>
      </c>
    </row>
    <row r="8" ht="24.0" customHeight="1">
      <c r="A8" s="40">
        <v>2.02490259E9</v>
      </c>
      <c r="B8" s="42" t="s">
        <v>106</v>
      </c>
      <c r="C8" s="15" t="str">
        <f>IFERROR(__xludf.DUMMYFUNCTION("IFERROR(XLOOKUP(A8, IMPORTRANGE(""1dfbuNQ3U1XqtdPB70d4KK-T2neyc0ZV0mzl9Q33XU-4"", ""web!A:A""), IMPORTRANGE(""1dfbuNQ3U1XqtdPB70d4KK-T2neyc0ZV0mzl9Q33XU-4"", ""web!B:B"")), """")"),"彭程")</f>
        <v>彭程</v>
      </c>
      <c r="D8" s="15">
        <f>IF(UPPER(E8)=UPPER(E5),E4,0)+IF(UPPER(F8)=UPPER(F5),F4,0)+IF(UPPER(G8)=UPPER(G5),G4,0)+IF(UPPER(H8)=UPPER(H5),H4,0)+IF(UPPER(I8)=UPPER(I5),I4,0)+IF(UPPER(J8)=UPPER(J5),J4,0)+IF(UPPER(K8)=UPPER(K5),K4,0)+IF(UPPER(L8)=UPPER(L5),L4,0)+IF(UPPER(M8)=UPPER(M5),M4,0)+IF(UPPER(N8)=UPPER(N5),N4,0)+IF(UPPER(O8)=UPPER(O5),O4,0)+IF(UPPER(P8)=UPPER(P5),P4,0)+IF(UPPER(Q8)=UPPER(Q5),Q4,0)+IF(UPPER(R8)=UPPER(R5),R4,0)+IF(UPPER(S8)=UPPER(S5),S4,0)+IF(UPPER(T8)=UPPER(T5),T4,0)+IF(UPPER(U8)=UPPER(U5),U4,0)+IF(UPPER(V8)=UPPER(V5),V4,0)+IF(UPPER(W8)=UPPER(W5),W4,0)+IF(UPPER(X8)=UPPER(X5),X4,0)+IF(UPPER(Y8)=UPPER(Y5),Y4,0)+IF(UPPER(Z8)=UPPER(Z5),Z4,0)+IF(UPPER(AA8)=UPPER(AA5),AA4,0)+IF(UPPER(AB8)=UPPER(AB5),AB4,0)+IF(UPPER(AC8)=UPPER(AC5),AC4,0)+IF(UPPER(AD8)=UPPER(AD5),AD4,0)+IF(UPPER(AE8)=UPPER(AE5),AE4,0)+IF(UPPER(AF8)=UPPER(AF5),AF4,0)+IF(UPPER(AG8)=UPPER(AG5),AG4,0)+IF(UPPER(AH8)=UPPER(AH5),AH4,0)</f>
        <v>75</v>
      </c>
      <c r="E8" s="40" t="s">
        <v>39</v>
      </c>
      <c r="F8" s="40" t="s">
        <v>46</v>
      </c>
      <c r="G8" s="40" t="s">
        <v>45</v>
      </c>
      <c r="H8" s="40" t="s">
        <v>46</v>
      </c>
      <c r="I8" s="40" t="s">
        <v>44</v>
      </c>
      <c r="J8" s="40" t="s">
        <v>43</v>
      </c>
      <c r="K8" s="40" t="s">
        <v>46</v>
      </c>
      <c r="L8" s="40" t="s">
        <v>45</v>
      </c>
      <c r="M8" s="40" t="s">
        <v>44</v>
      </c>
      <c r="N8" s="40" t="s">
        <v>43</v>
      </c>
      <c r="O8" s="40" t="s">
        <v>46</v>
      </c>
      <c r="P8" s="40" t="s">
        <v>46</v>
      </c>
      <c r="Q8" s="40" t="s">
        <v>44</v>
      </c>
      <c r="R8" s="40" t="s">
        <v>43</v>
      </c>
      <c r="S8" s="40" t="s">
        <v>46</v>
      </c>
      <c r="T8" s="40" t="s">
        <v>46</v>
      </c>
      <c r="U8" s="40" t="s">
        <v>45</v>
      </c>
      <c r="V8" s="40" t="s">
        <v>43</v>
      </c>
      <c r="W8" s="40" t="s">
        <v>46</v>
      </c>
      <c r="X8" s="40" t="s">
        <v>45</v>
      </c>
      <c r="Y8" s="40" t="s">
        <v>46</v>
      </c>
      <c r="Z8" s="40" t="s">
        <v>43</v>
      </c>
      <c r="AA8" s="40" t="s">
        <v>44</v>
      </c>
      <c r="AB8" s="40" t="s">
        <v>46</v>
      </c>
      <c r="AC8" s="40" t="s">
        <v>45</v>
      </c>
      <c r="AD8" s="40" t="s">
        <v>46</v>
      </c>
      <c r="AE8" s="40" t="s">
        <v>44</v>
      </c>
      <c r="AF8" s="40" t="s">
        <v>46</v>
      </c>
      <c r="AG8" s="40" t="s">
        <v>45</v>
      </c>
      <c r="AH8" s="40" t="s">
        <v>44</v>
      </c>
    </row>
    <row r="9" ht="24.0" customHeight="1">
      <c r="A9" s="40">
        <v>2.024905122E9</v>
      </c>
      <c r="B9" s="41" t="s">
        <v>107</v>
      </c>
      <c r="C9" s="17" t="str">
        <f>IFERROR(__xludf.DUMMYFUNCTION("IFERROR(XLOOKUP(A9, IMPORTRANGE(""1dfbuNQ3U1XqtdPB70d4KK-T2neyc0ZV0mzl9Q33XU-4"", ""web!A:A""), IMPORTRANGE(""1dfbuNQ3U1XqtdPB70d4KK-T2neyc0ZV0mzl9Q33XU-4"", ""web!B:B"")), """")"),"李显隆")</f>
        <v>李显隆</v>
      </c>
      <c r="D9" s="17">
        <f>IF(UPPER(E9)=UPPER(E5),E4,0)+IF(UPPER(F9)=UPPER(F5),F4,0)+IF(UPPER(G9)=UPPER(G5),G4,0)+IF(UPPER(H9)=UPPER(H5),H4,0)+IF(UPPER(I9)=UPPER(I5),I4,0)+IF(UPPER(J9)=UPPER(J5),J4,0)+IF(UPPER(K9)=UPPER(K5),K4,0)+IF(UPPER(L9)=UPPER(L5),L4,0)+IF(UPPER(M9)=UPPER(M5),M4,0)+IF(UPPER(N9)=UPPER(N5),N4,0)+IF(UPPER(O9)=UPPER(O5),O4,0)+IF(UPPER(P9)=UPPER(P5),P4,0)+IF(UPPER(Q9)=UPPER(Q5),Q4,0)+IF(UPPER(R9)=UPPER(R5),R4,0)+IF(UPPER(S9)=UPPER(S5),S4,0)+IF(UPPER(T9)=UPPER(T5),T4,0)+IF(UPPER(U9)=UPPER(U5),U4,0)+IF(UPPER(V9)=UPPER(V5),V4,0)+IF(UPPER(W9)=UPPER(W5),W4,0)+IF(UPPER(X9)=UPPER(X5),X4,0)+IF(UPPER(Y9)=UPPER(Y5),Y4,0)+IF(UPPER(Z9)=UPPER(Z5),Z4,0)+IF(UPPER(AA9)=UPPER(AA5),AA4,0)+IF(UPPER(AB9)=UPPER(AB5),AB4,0)+IF(UPPER(AC9)=UPPER(AC5),AC4,0)+IF(UPPER(AD9)=UPPER(AD5),AD4,0)+IF(UPPER(AE9)=UPPER(AE5),AE4,0)+IF(UPPER(AF9)=UPPER(AF5),AF4,0)+IF(UPPER(AG9)=UPPER(AG5),AG4,0)+IF(UPPER(AH9)=UPPER(AH5),AH4,0)</f>
        <v>77</v>
      </c>
      <c r="E9" s="28" t="s">
        <v>44</v>
      </c>
      <c r="F9" s="28" t="s">
        <v>46</v>
      </c>
      <c r="G9" s="28" t="s">
        <v>45</v>
      </c>
      <c r="H9" s="28" t="s">
        <v>46</v>
      </c>
      <c r="I9" s="28" t="s">
        <v>44</v>
      </c>
      <c r="J9" s="28" t="s">
        <v>43</v>
      </c>
      <c r="K9" s="28" t="s">
        <v>46</v>
      </c>
      <c r="L9" s="28" t="s">
        <v>45</v>
      </c>
      <c r="M9" s="28" t="s">
        <v>44</v>
      </c>
      <c r="N9" s="28" t="s">
        <v>43</v>
      </c>
      <c r="O9" s="28" t="s">
        <v>43</v>
      </c>
      <c r="P9" s="28" t="s">
        <v>46</v>
      </c>
      <c r="Q9" s="28" t="s">
        <v>45</v>
      </c>
      <c r="R9" s="28" t="s">
        <v>43</v>
      </c>
      <c r="S9" s="28" t="s">
        <v>46</v>
      </c>
      <c r="T9" s="28" t="s">
        <v>46</v>
      </c>
      <c r="U9" s="28" t="s">
        <v>45</v>
      </c>
      <c r="V9" s="28" t="s">
        <v>43</v>
      </c>
      <c r="W9" s="28" t="s">
        <v>46</v>
      </c>
      <c r="X9" s="28" t="s">
        <v>45</v>
      </c>
      <c r="Y9" s="28" t="s">
        <v>45</v>
      </c>
      <c r="Z9" s="28" t="s">
        <v>43</v>
      </c>
      <c r="AA9" s="28" t="s">
        <v>44</v>
      </c>
      <c r="AB9" s="28" t="s">
        <v>46</v>
      </c>
      <c r="AC9" s="28" t="s">
        <v>45</v>
      </c>
      <c r="AD9" s="28" t="s">
        <v>46</v>
      </c>
      <c r="AE9" s="28" t="s">
        <v>44</v>
      </c>
      <c r="AF9" s="28" t="s">
        <v>46</v>
      </c>
      <c r="AG9" s="28" t="s">
        <v>45</v>
      </c>
      <c r="AH9" s="28" t="s">
        <v>44</v>
      </c>
    </row>
    <row r="10" ht="24.0" customHeight="1">
      <c r="A10" s="40">
        <v>2.024904089E9</v>
      </c>
      <c r="B10" s="42" t="s">
        <v>108</v>
      </c>
      <c r="C10" s="15" t="str">
        <f>IFERROR(__xludf.DUMMYFUNCTION("IFERROR(XLOOKUP(A10, IMPORTRANGE(""1dfbuNQ3U1XqtdPB70d4KK-T2neyc0ZV0mzl9Q33XU-4"", ""web!A:A""), IMPORTRANGE(""1dfbuNQ3U1XqtdPB70d4KK-T2neyc0ZV0mzl9Q33XU-4"", ""web!B:B"")), """")"),"王帅然")</f>
        <v>王帅然</v>
      </c>
      <c r="D10" s="15">
        <f>IF(UPPER(E10)=UPPER(E5),E4,0)+IF(UPPER(F10)=UPPER(F5),F4,0)+IF(UPPER(G10)=UPPER(G5),G4,0)+IF(UPPER(H10)=UPPER(H5),H4,0)+IF(UPPER(I10)=UPPER(I5),I4,0)+IF(UPPER(J10)=UPPER(J5),J4,0)+IF(UPPER(K10)=UPPER(K5),K4,0)+IF(UPPER(L10)=UPPER(L5),L4,0)+IF(UPPER(M10)=UPPER(M5),M4,0)+IF(UPPER(N10)=UPPER(N5),N4,0)+IF(UPPER(O10)=UPPER(O5),O4,0)+IF(UPPER(P10)=UPPER(P5),P4,0)+IF(UPPER(Q10)=UPPER(Q5),Q4,0)+IF(UPPER(R10)=UPPER(R5),R4,0)+IF(UPPER(S10)=UPPER(S5),S4,0)+IF(UPPER(T10)=UPPER(T5),T4,0)+IF(UPPER(U10)=UPPER(U5),U4,0)+IF(UPPER(V10)=UPPER(V5),V4,0)+IF(UPPER(W10)=UPPER(W5),W4,0)+IF(UPPER(X10)=UPPER(X5),X4,0)+IF(UPPER(Y10)=UPPER(Y5),Y4,0)+IF(UPPER(Z10)=UPPER(Z5),Z4,0)+IF(UPPER(AA10)=UPPER(AA5),AA4,0)+IF(UPPER(AB10)=UPPER(AB5),AB4,0)+IF(UPPER(AC10)=UPPER(AC5),AC4,0)+IF(UPPER(AD10)=UPPER(AD5),AD4,0)+IF(UPPER(AE10)=UPPER(AE5),AE4,0)+IF(UPPER(AF10)=UPPER(AF5),AF4,0)+IF(UPPER(AG10)=UPPER(AG5),AG4,0)+IF(UPPER(AH10)=UPPER(AH5),AH4,0)</f>
        <v>66</v>
      </c>
      <c r="E10" s="40" t="s">
        <v>44</v>
      </c>
      <c r="F10" s="40" t="s">
        <v>46</v>
      </c>
      <c r="G10" s="40" t="s">
        <v>43</v>
      </c>
      <c r="H10" s="40" t="s">
        <v>46</v>
      </c>
      <c r="I10" s="40" t="s">
        <v>44</v>
      </c>
      <c r="J10" s="40" t="s">
        <v>44</v>
      </c>
      <c r="K10" s="40" t="s">
        <v>46</v>
      </c>
      <c r="L10" s="40" t="s">
        <v>45</v>
      </c>
      <c r="M10" s="40" t="s">
        <v>44</v>
      </c>
      <c r="N10" s="40" t="s">
        <v>43</v>
      </c>
      <c r="O10" s="40" t="s">
        <v>46</v>
      </c>
      <c r="P10" s="40" t="s">
        <v>44</v>
      </c>
      <c r="Q10" s="40" t="s">
        <v>45</v>
      </c>
      <c r="R10" s="40" t="s">
        <v>45</v>
      </c>
      <c r="S10" s="40" t="s">
        <v>46</v>
      </c>
      <c r="T10" s="40" t="s">
        <v>43</v>
      </c>
      <c r="U10" s="40" t="s">
        <v>46</v>
      </c>
      <c r="V10" s="40" t="s">
        <v>43</v>
      </c>
      <c r="W10" s="40" t="s">
        <v>46</v>
      </c>
      <c r="X10" s="40" t="s">
        <v>44</v>
      </c>
      <c r="Y10" s="40" t="s">
        <v>45</v>
      </c>
      <c r="Z10" s="40" t="s">
        <v>43</v>
      </c>
      <c r="AA10" s="40" t="s">
        <v>44</v>
      </c>
      <c r="AB10" s="40" t="s">
        <v>43</v>
      </c>
      <c r="AC10" s="40" t="s">
        <v>46</v>
      </c>
      <c r="AD10" s="40" t="s">
        <v>44</v>
      </c>
      <c r="AE10" s="40" t="s">
        <v>45</v>
      </c>
      <c r="AF10" s="40" t="s">
        <v>45</v>
      </c>
      <c r="AG10" s="40" t="s">
        <v>45</v>
      </c>
      <c r="AH10" s="40" t="s">
        <v>43</v>
      </c>
    </row>
    <row r="11" ht="24.0" customHeight="1">
      <c r="A11" s="40">
        <v>2.02490226E9</v>
      </c>
      <c r="B11" s="41" t="s">
        <v>109</v>
      </c>
      <c r="C11" s="17" t="str">
        <f>IFERROR(__xludf.DUMMYFUNCTION("IFERROR(XLOOKUP(A11, IMPORTRANGE(""1dfbuNQ3U1XqtdPB70d4KK-T2neyc0ZV0mzl9Q33XU-4"", ""web!A:A""), IMPORTRANGE(""1dfbuNQ3U1XqtdPB70d4KK-T2neyc0ZV0mzl9Q33XU-4"", ""web!B:B"")), """")"),"王浩宇")</f>
        <v>王浩宇</v>
      </c>
      <c r="D11" s="17">
        <f>IF(UPPER(E11)=UPPER(E5),E4,0)+IF(UPPER(F11)=UPPER(F5),F4,0)+IF(UPPER(G11)=UPPER(G5),G4,0)+IF(UPPER(H11)=UPPER(H5),H4,0)+IF(UPPER(I11)=UPPER(I5),I4,0)+IF(UPPER(J11)=UPPER(J5),J4,0)+IF(UPPER(K11)=UPPER(K5),K4,0)+IF(UPPER(L11)=UPPER(L5),L4,0)+IF(UPPER(M11)=UPPER(M5),M4,0)+IF(UPPER(N11)=UPPER(N5),N4,0)+IF(UPPER(O11)=UPPER(O5),O4,0)+IF(UPPER(P11)=UPPER(P5),P4,0)+IF(UPPER(Q11)=UPPER(Q5),Q4,0)+IF(UPPER(R11)=UPPER(R5),R4,0)+IF(UPPER(S11)=UPPER(S5),S4,0)+IF(UPPER(T11)=UPPER(T5),T4,0)+IF(UPPER(U11)=UPPER(U5),U4,0)+IF(UPPER(V11)=UPPER(V5),V4,0)+IF(UPPER(W11)=UPPER(W5),W4,0)+IF(UPPER(X11)=UPPER(X5),X4,0)+IF(UPPER(Y11)=UPPER(Y5),Y4,0)+IF(UPPER(Z11)=UPPER(Z5),Z4,0)+IF(UPPER(AA11)=UPPER(AA5),AA4,0)+IF(UPPER(AB11)=UPPER(AB5),AB4,0)+IF(UPPER(AC11)=UPPER(AC5),AC4,0)+IF(UPPER(AD11)=UPPER(AD5),AD4,0)+IF(UPPER(AE11)=UPPER(AE5),AE4,0)+IF(UPPER(AF11)=UPPER(AF5),AF4,0)+IF(UPPER(AG11)=UPPER(AG5),AG4,0)+IF(UPPER(AH11)=UPPER(AH5),AH4,0)</f>
        <v>76</v>
      </c>
      <c r="E11" s="28" t="s">
        <v>44</v>
      </c>
      <c r="F11" s="28" t="s">
        <v>46</v>
      </c>
      <c r="G11" s="28" t="s">
        <v>45</v>
      </c>
      <c r="H11" s="28" t="s">
        <v>46</v>
      </c>
      <c r="I11" s="28" t="s">
        <v>44</v>
      </c>
      <c r="J11" s="28" t="s">
        <v>43</v>
      </c>
      <c r="K11" s="28" t="s">
        <v>46</v>
      </c>
      <c r="L11" s="28" t="s">
        <v>45</v>
      </c>
      <c r="M11" s="28" t="s">
        <v>44</v>
      </c>
      <c r="N11" s="28" t="s">
        <v>43</v>
      </c>
      <c r="O11" s="28" t="s">
        <v>43</v>
      </c>
      <c r="P11" s="28" t="s">
        <v>46</v>
      </c>
      <c r="Q11" s="28" t="s">
        <v>45</v>
      </c>
      <c r="R11" s="28" t="s">
        <v>43</v>
      </c>
      <c r="S11" s="28" t="s">
        <v>46</v>
      </c>
      <c r="T11" s="28" t="s">
        <v>44</v>
      </c>
      <c r="U11" s="28" t="s">
        <v>45</v>
      </c>
      <c r="V11" s="28" t="s">
        <v>43</v>
      </c>
      <c r="W11" s="28" t="s">
        <v>46</v>
      </c>
      <c r="X11" s="28" t="s">
        <v>45</v>
      </c>
      <c r="Y11" s="28" t="s">
        <v>45</v>
      </c>
      <c r="Z11" s="28" t="s">
        <v>43</v>
      </c>
      <c r="AA11" s="28" t="s">
        <v>44</v>
      </c>
      <c r="AB11" s="28" t="s">
        <v>46</v>
      </c>
      <c r="AC11" s="28" t="s">
        <v>44</v>
      </c>
      <c r="AD11" s="28" t="s">
        <v>46</v>
      </c>
      <c r="AE11" s="28" t="s">
        <v>44</v>
      </c>
      <c r="AF11" s="28" t="s">
        <v>46</v>
      </c>
      <c r="AG11" s="28" t="s">
        <v>45</v>
      </c>
      <c r="AH11" s="28" t="s">
        <v>44</v>
      </c>
    </row>
    <row r="12" ht="24.0" customHeight="1">
      <c r="A12" s="40">
        <v>2.024903716E9</v>
      </c>
      <c r="B12" s="42" t="s">
        <v>110</v>
      </c>
      <c r="C12" s="15" t="str">
        <f>IFERROR(__xludf.DUMMYFUNCTION("IFERROR(XLOOKUP(A12, IMPORTRANGE(""1dfbuNQ3U1XqtdPB70d4KK-T2neyc0ZV0mzl9Q33XU-4"", ""web!A:A""), IMPORTRANGE(""1dfbuNQ3U1XqtdPB70d4KK-T2neyc0ZV0mzl9Q33XU-4"", ""web!B:B"")), """")"),"俞思源")</f>
        <v>俞思源</v>
      </c>
      <c r="D12" s="15">
        <f>IF(UPPER(E12)=UPPER(E5),E4,0)+IF(UPPER(F12)=UPPER(F5),F4,0)+IF(UPPER(G12)=UPPER(G5),G4,0)+IF(UPPER(H12)=UPPER(H5),H4,0)+IF(UPPER(I12)=UPPER(I5),I4,0)+IF(UPPER(J12)=UPPER(J5),J4,0)+IF(UPPER(K12)=UPPER(K5),K4,0)+IF(UPPER(L12)=UPPER(L5),L4,0)+IF(UPPER(M12)=UPPER(M5),M4,0)+IF(UPPER(N12)=UPPER(N5),N4,0)+IF(UPPER(O12)=UPPER(O5),O4,0)+IF(UPPER(P12)=UPPER(P5),P4,0)+IF(UPPER(Q12)=UPPER(Q5),Q4,0)+IF(UPPER(R12)=UPPER(R5),R4,0)+IF(UPPER(S12)=UPPER(S5),S4,0)+IF(UPPER(T12)=UPPER(T5),T4,0)+IF(UPPER(U12)=UPPER(U5),U4,0)+IF(UPPER(V12)=UPPER(V5),V4,0)+IF(UPPER(W12)=UPPER(W5),W4,0)+IF(UPPER(X12)=UPPER(X5),X4,0)+IF(UPPER(Y12)=UPPER(Y5),Y4,0)+IF(UPPER(Z12)=UPPER(Z5),Z4,0)+IF(UPPER(AA12)=UPPER(AA5),AA4,0)+IF(UPPER(AB12)=UPPER(AB5),AB4,0)+IF(UPPER(AC12)=UPPER(AC5),AC4,0)+IF(UPPER(AD12)=UPPER(AD5),AD4,0)+IF(UPPER(AE12)=UPPER(AE5),AE4,0)+IF(UPPER(AF12)=UPPER(AF5),AF4,0)+IF(UPPER(AG12)=UPPER(AG5),AG4,0)+IF(UPPER(AH12)=UPPER(AH5),AH4,0)</f>
        <v>85</v>
      </c>
      <c r="E12" s="40" t="s">
        <v>44</v>
      </c>
      <c r="F12" s="40" t="s">
        <v>46</v>
      </c>
      <c r="G12" s="40" t="s">
        <v>45</v>
      </c>
      <c r="H12" s="40" t="s">
        <v>46</v>
      </c>
      <c r="I12" s="40" t="s">
        <v>44</v>
      </c>
      <c r="J12" s="40" t="s">
        <v>43</v>
      </c>
      <c r="K12" s="40" t="s">
        <v>46</v>
      </c>
      <c r="L12" s="40" t="s">
        <v>45</v>
      </c>
      <c r="M12" s="40" t="s">
        <v>44</v>
      </c>
      <c r="N12" s="40" t="s">
        <v>46</v>
      </c>
      <c r="O12" s="40" t="s">
        <v>43</v>
      </c>
      <c r="P12" s="40" t="s">
        <v>44</v>
      </c>
      <c r="Q12" s="40" t="s">
        <v>45</v>
      </c>
      <c r="R12" s="40" t="s">
        <v>43</v>
      </c>
      <c r="S12" s="40" t="s">
        <v>46</v>
      </c>
      <c r="T12" s="40" t="s">
        <v>44</v>
      </c>
      <c r="U12" s="40" t="s">
        <v>45</v>
      </c>
      <c r="V12" s="40" t="s">
        <v>43</v>
      </c>
      <c r="W12" s="40" t="s">
        <v>46</v>
      </c>
      <c r="X12" s="40" t="s">
        <v>43</v>
      </c>
      <c r="Y12" s="40" t="s">
        <v>45</v>
      </c>
      <c r="Z12" s="40" t="s">
        <v>43</v>
      </c>
      <c r="AA12" s="40" t="s">
        <v>44</v>
      </c>
      <c r="AB12" s="40" t="s">
        <v>46</v>
      </c>
      <c r="AC12" s="40" t="s">
        <v>45</v>
      </c>
      <c r="AD12" s="40" t="s">
        <v>43</v>
      </c>
      <c r="AE12" s="40" t="s">
        <v>44</v>
      </c>
      <c r="AF12" s="40" t="s">
        <v>46</v>
      </c>
      <c r="AG12" s="40" t="s">
        <v>45</v>
      </c>
      <c r="AH12" s="40" t="s">
        <v>44</v>
      </c>
    </row>
    <row r="13" ht="24.0" customHeight="1">
      <c r="A13" s="40">
        <v>2.024902263E9</v>
      </c>
      <c r="B13" s="41" t="s">
        <v>111</v>
      </c>
      <c r="C13" s="17" t="str">
        <f>IFERROR(__xludf.DUMMYFUNCTION("IFERROR(XLOOKUP(A13, IMPORTRANGE(""1dfbuNQ3U1XqtdPB70d4KK-T2neyc0ZV0mzl9Q33XU-4"", ""web!A:A""), IMPORTRANGE(""1dfbuNQ3U1XqtdPB70d4KK-T2neyc0ZV0mzl9Q33XU-4"", ""web!B:B"")), """")"),"吴丰年")</f>
        <v>吴丰年</v>
      </c>
      <c r="D13" s="17">
        <f>IF(UPPER(E13)=UPPER(E5),E4,0)+IF(UPPER(F13)=UPPER(F5),F4,0)+IF(UPPER(G13)=UPPER(G5),G4,0)+IF(UPPER(H13)=UPPER(H5),H4,0)+IF(UPPER(I13)=UPPER(I5),I4,0)+IF(UPPER(J13)=UPPER(J5),J4,0)+IF(UPPER(K13)=UPPER(K5),K4,0)+IF(UPPER(L13)=UPPER(L5),L4,0)+IF(UPPER(M13)=UPPER(M5),M4,0)+IF(UPPER(N13)=UPPER(N5),N4,0)+IF(UPPER(O13)=UPPER(O5),O4,0)+IF(UPPER(P13)=UPPER(P5),P4,0)+IF(UPPER(Q13)=UPPER(Q5),Q4,0)+IF(UPPER(R13)=UPPER(R5),R4,0)+IF(UPPER(S13)=UPPER(S5),S4,0)+IF(UPPER(T13)=UPPER(T5),T4,0)+IF(UPPER(U13)=UPPER(U5),U4,0)+IF(UPPER(V13)=UPPER(V5),V4,0)+IF(UPPER(W13)=UPPER(W5),W4,0)+IF(UPPER(X13)=UPPER(X5),X4,0)+IF(UPPER(Y13)=UPPER(Y5),Y4,0)+IF(UPPER(Z13)=UPPER(Z5),Z4,0)+IF(UPPER(AA13)=UPPER(AA5),AA4,0)+IF(UPPER(AB13)=UPPER(AB5),AB4,0)+IF(UPPER(AC13)=UPPER(AC5),AC4,0)+IF(UPPER(AD13)=UPPER(AD5),AD4,0)+IF(UPPER(AE13)=UPPER(AE5),AE4,0)+IF(UPPER(AF13)=UPPER(AF5),AF4,0)+IF(UPPER(AG13)=UPPER(AG5),AG4,0)+IF(UPPER(AH13)=UPPER(AH5),AH4,0)</f>
        <v>73</v>
      </c>
      <c r="E13" s="28" t="s">
        <v>44</v>
      </c>
      <c r="F13" s="28" t="s">
        <v>43</v>
      </c>
      <c r="G13" s="28" t="s">
        <v>43</v>
      </c>
      <c r="H13" s="28" t="s">
        <v>46</v>
      </c>
      <c r="I13" s="28" t="s">
        <v>44</v>
      </c>
      <c r="J13" s="28" t="s">
        <v>46</v>
      </c>
      <c r="K13" s="28" t="s">
        <v>46</v>
      </c>
      <c r="L13" s="28" t="s">
        <v>45</v>
      </c>
      <c r="M13" s="28" t="s">
        <v>44</v>
      </c>
      <c r="N13" s="28" t="s">
        <v>43</v>
      </c>
      <c r="O13" s="28" t="s">
        <v>43</v>
      </c>
      <c r="P13" s="28" t="s">
        <v>44</v>
      </c>
      <c r="Q13" s="28" t="s">
        <v>44</v>
      </c>
      <c r="R13" s="28" t="s">
        <v>43</v>
      </c>
      <c r="S13" s="28" t="s">
        <v>46</v>
      </c>
      <c r="T13" s="28" t="s">
        <v>43</v>
      </c>
      <c r="U13" s="28" t="s">
        <v>45</v>
      </c>
      <c r="V13" s="28" t="s">
        <v>43</v>
      </c>
      <c r="W13" s="28" t="s">
        <v>46</v>
      </c>
      <c r="X13" s="28" t="s">
        <v>46</v>
      </c>
      <c r="Y13" s="28" t="s">
        <v>45</v>
      </c>
      <c r="Z13" s="28" t="s">
        <v>43</v>
      </c>
      <c r="AA13" s="28" t="s">
        <v>44</v>
      </c>
      <c r="AB13" s="28" t="s">
        <v>46</v>
      </c>
      <c r="AC13" s="28" t="s">
        <v>45</v>
      </c>
      <c r="AD13" s="28" t="s">
        <v>43</v>
      </c>
      <c r="AE13" s="28" t="s">
        <v>44</v>
      </c>
      <c r="AF13" s="28" t="s">
        <v>46</v>
      </c>
      <c r="AG13" s="28" t="s">
        <v>45</v>
      </c>
      <c r="AH13" s="28" t="s">
        <v>44</v>
      </c>
    </row>
    <row r="14" ht="24.0" customHeight="1">
      <c r="A14" s="40">
        <v>2.024900808E9</v>
      </c>
      <c r="B14" s="42" t="s">
        <v>112</v>
      </c>
      <c r="C14" s="15" t="str">
        <f>IFERROR(__xludf.DUMMYFUNCTION("IFERROR(XLOOKUP(A14, IMPORTRANGE(""1dfbuNQ3U1XqtdPB70d4KK-T2neyc0ZV0mzl9Q33XU-4"", ""web!A:A""), IMPORTRANGE(""1dfbuNQ3U1XqtdPB70d4KK-T2neyc0ZV0mzl9Q33XU-4"", ""web!B:B"")), """")"),"高铭志")</f>
        <v>高铭志</v>
      </c>
      <c r="D14" s="15">
        <f>IF(UPPER(E14)=UPPER(E5),E4,0)+IF(UPPER(F14)=UPPER(F5),F4,0)+IF(UPPER(G14)=UPPER(G5),G4,0)+IF(UPPER(H14)=UPPER(H5),H4,0)+IF(UPPER(I14)=UPPER(I5),I4,0)+IF(UPPER(J14)=UPPER(J5),J4,0)+IF(UPPER(K14)=UPPER(K5),K4,0)+IF(UPPER(L14)=UPPER(L5),L4,0)+IF(UPPER(M14)=UPPER(M5),M4,0)+IF(UPPER(N14)=UPPER(N5),N4,0)+IF(UPPER(O14)=UPPER(O5),O4,0)+IF(UPPER(P14)=UPPER(P5),P4,0)+IF(UPPER(Q14)=UPPER(Q5),Q4,0)+IF(UPPER(R14)=UPPER(R5),R4,0)+IF(UPPER(S14)=UPPER(S5),S4,0)+IF(UPPER(T14)=UPPER(T5),T4,0)+IF(UPPER(U14)=UPPER(U5),U4,0)+IF(UPPER(V14)=UPPER(V5),V4,0)+IF(UPPER(W14)=UPPER(W5),W4,0)+IF(UPPER(X14)=UPPER(X5),X4,0)+IF(UPPER(Y14)=UPPER(Y5),Y4,0)+IF(UPPER(Z14)=UPPER(Z5),Z4,0)+IF(UPPER(AA14)=UPPER(AA5),AA4,0)+IF(UPPER(AB14)=UPPER(AB5),AB4,0)+IF(UPPER(AC14)=UPPER(AC5),AC4,0)+IF(UPPER(AD14)=UPPER(AD5),AD4,0)+IF(UPPER(AE14)=UPPER(AE5),AE4,0)+IF(UPPER(AF14)=UPPER(AF5),AF4,0)+IF(UPPER(AG14)=UPPER(AG5),AG4,0)+IF(UPPER(AH14)=UPPER(AH5),AH4,0)</f>
        <v>44</v>
      </c>
      <c r="E14" s="40" t="s">
        <v>44</v>
      </c>
      <c r="F14" s="40" t="s">
        <v>38</v>
      </c>
      <c r="G14" s="40" t="s">
        <v>46</v>
      </c>
      <c r="H14" s="40" t="s">
        <v>45</v>
      </c>
      <c r="I14" s="40" t="s">
        <v>44</v>
      </c>
      <c r="J14" s="40" t="s">
        <v>46</v>
      </c>
      <c r="K14" s="40" t="s">
        <v>43</v>
      </c>
      <c r="L14" s="40" t="s">
        <v>45</v>
      </c>
      <c r="M14" s="40" t="s">
        <v>44</v>
      </c>
      <c r="N14" s="40" t="s">
        <v>46</v>
      </c>
      <c r="O14" s="40" t="s">
        <v>45</v>
      </c>
      <c r="P14" s="40" t="s">
        <v>44</v>
      </c>
      <c r="Q14" s="40" t="s">
        <v>44</v>
      </c>
      <c r="R14" s="40" t="s">
        <v>44</v>
      </c>
      <c r="S14" s="40" t="s">
        <v>46</v>
      </c>
      <c r="T14" s="40" t="s">
        <v>46</v>
      </c>
      <c r="U14" s="40" t="s">
        <v>46</v>
      </c>
      <c r="V14" s="40" t="s">
        <v>44</v>
      </c>
      <c r="W14" s="40" t="s">
        <v>44</v>
      </c>
      <c r="X14" s="40" t="s">
        <v>45</v>
      </c>
      <c r="Y14" s="40" t="s">
        <v>44</v>
      </c>
      <c r="Z14" s="40" t="s">
        <v>43</v>
      </c>
      <c r="AA14" s="40" t="s">
        <v>44</v>
      </c>
      <c r="AB14" s="40" t="s">
        <v>46</v>
      </c>
      <c r="AC14" s="40" t="s">
        <v>43</v>
      </c>
      <c r="AD14" s="40" t="s">
        <v>44</v>
      </c>
      <c r="AE14" s="40" t="s">
        <v>44</v>
      </c>
      <c r="AF14" s="40" t="s">
        <v>46</v>
      </c>
      <c r="AG14" s="40" t="s">
        <v>43</v>
      </c>
      <c r="AH14" s="40" t="s">
        <v>43</v>
      </c>
    </row>
    <row r="15" ht="24.0" customHeight="1">
      <c r="A15" s="40">
        <v>2.024900597E9</v>
      </c>
      <c r="B15" s="41" t="s">
        <v>113</v>
      </c>
      <c r="C15" s="17" t="str">
        <f>IFERROR(__xludf.DUMMYFUNCTION("IFERROR(XLOOKUP(A15, IMPORTRANGE(""1dfbuNQ3U1XqtdPB70d4KK-T2neyc0ZV0mzl9Q33XU-4"", ""web!A:A""), IMPORTRANGE(""1dfbuNQ3U1XqtdPB70d4KK-T2neyc0ZV0mzl9Q33XU-4"", ""web!B:B"")), """")"),"     洪浩洋")</f>
        <v>     洪浩洋</v>
      </c>
      <c r="D15" s="17">
        <f>IF(UPPER(E15)=UPPER(E5),E4,0)+IF(UPPER(F15)=UPPER(F5),F4,0)+IF(UPPER(G15)=UPPER(G5),G4,0)+IF(UPPER(H15)=UPPER(H5),H4,0)+IF(UPPER(I15)=UPPER(I5),I4,0)+IF(UPPER(J15)=UPPER(J5),J4,0)+IF(UPPER(K15)=UPPER(K5),K4,0)+IF(UPPER(L15)=UPPER(L5),L4,0)+IF(UPPER(M15)=UPPER(M5),M4,0)+IF(UPPER(N15)=UPPER(N5),N4,0)+IF(UPPER(O15)=UPPER(O5),O4,0)+IF(UPPER(P15)=UPPER(P5),P4,0)+IF(UPPER(Q15)=UPPER(Q5),Q4,0)+IF(UPPER(R15)=UPPER(R5),R4,0)+IF(UPPER(S15)=UPPER(S5),S4,0)+IF(UPPER(T15)=UPPER(T5),T4,0)+IF(UPPER(U15)=UPPER(U5),U4,0)+IF(UPPER(V15)=UPPER(V5),V4,0)+IF(UPPER(W15)=UPPER(W5),W4,0)+IF(UPPER(X15)=UPPER(X5),X4,0)+IF(UPPER(Y15)=UPPER(Y5),Y4,0)+IF(UPPER(Z15)=UPPER(Z5),Z4,0)+IF(UPPER(AA15)=UPPER(AA5),AA4,0)+IF(UPPER(AB15)=UPPER(AB5),AB4,0)+IF(UPPER(AC15)=UPPER(AC5),AC4,0)+IF(UPPER(AD15)=UPPER(AD5),AD4,0)+IF(UPPER(AE15)=UPPER(AE5),AE4,0)+IF(UPPER(AF15)=UPPER(AF5),AF4,0)+IF(UPPER(AG15)=UPPER(AG5),AG4,0)+IF(UPPER(AH15)=UPPER(AH5),AH4,0)</f>
        <v>86</v>
      </c>
      <c r="E15" s="28" t="s">
        <v>44</v>
      </c>
      <c r="F15" s="28" t="s">
        <v>46</v>
      </c>
      <c r="G15" s="28" t="s">
        <v>43</v>
      </c>
      <c r="H15" s="28" t="s">
        <v>46</v>
      </c>
      <c r="I15" s="28" t="s">
        <v>44</v>
      </c>
      <c r="J15" s="28" t="s">
        <v>43</v>
      </c>
      <c r="K15" s="28" t="s">
        <v>46</v>
      </c>
      <c r="L15" s="28" t="s">
        <v>45</v>
      </c>
      <c r="M15" s="28" t="s">
        <v>44</v>
      </c>
      <c r="N15" s="28" t="s">
        <v>43</v>
      </c>
      <c r="O15" s="28" t="s">
        <v>46</v>
      </c>
      <c r="P15" s="28" t="s">
        <v>43</v>
      </c>
      <c r="Q15" s="28" t="s">
        <v>45</v>
      </c>
      <c r="R15" s="28" t="s">
        <v>46</v>
      </c>
      <c r="S15" s="28" t="s">
        <v>46</v>
      </c>
      <c r="T15" s="28" t="s">
        <v>44</v>
      </c>
      <c r="U15" s="28" t="s">
        <v>45</v>
      </c>
      <c r="V15" s="28" t="s">
        <v>43</v>
      </c>
      <c r="W15" s="28" t="s">
        <v>46</v>
      </c>
      <c r="X15" s="28" t="s">
        <v>44</v>
      </c>
      <c r="Y15" s="28" t="s">
        <v>44</v>
      </c>
      <c r="Z15" s="28" t="s">
        <v>43</v>
      </c>
      <c r="AA15" s="28" t="s">
        <v>44</v>
      </c>
      <c r="AB15" s="28" t="s">
        <v>46</v>
      </c>
      <c r="AC15" s="28" t="s">
        <v>45</v>
      </c>
      <c r="AD15" s="28" t="s">
        <v>43</v>
      </c>
      <c r="AE15" s="28" t="s">
        <v>44</v>
      </c>
      <c r="AF15" s="28" t="s">
        <v>46</v>
      </c>
      <c r="AG15" s="28" t="s">
        <v>45</v>
      </c>
      <c r="AH15" s="28" t="s">
        <v>43</v>
      </c>
    </row>
    <row r="16" ht="24.0" customHeight="1">
      <c r="A16" s="40">
        <v>2.024903385E9</v>
      </c>
      <c r="B16" s="42" t="s">
        <v>114</v>
      </c>
      <c r="C16" s="15" t="str">
        <f>IFERROR(__xludf.DUMMYFUNCTION("IFERROR(XLOOKUP(A16, IMPORTRANGE(""1dfbuNQ3U1XqtdPB70d4KK-T2neyc0ZV0mzl9Q33XU-4"", ""web!A:A""), IMPORTRANGE(""1dfbuNQ3U1XqtdPB70d4KK-T2neyc0ZV0mzl9Q33XU-4"", ""web!B:B"")), """")"),"孙一凡")</f>
        <v>孙一凡</v>
      </c>
      <c r="D16" s="15">
        <f>IF(UPPER(E16)=UPPER(E5),E4,0)+IF(UPPER(F16)=UPPER(F5),F4,0)+IF(UPPER(G16)=UPPER(G5),G4,0)+IF(UPPER(H16)=UPPER(H5),H4,0)+IF(UPPER(I16)=UPPER(I5),I4,0)+IF(UPPER(J16)=UPPER(J5),J4,0)+IF(UPPER(K16)=UPPER(K5),K4,0)+IF(UPPER(L16)=UPPER(L5),L4,0)+IF(UPPER(M16)=UPPER(M5),M4,0)+IF(UPPER(N16)=UPPER(N5),N4,0)+IF(UPPER(O16)=UPPER(O5),O4,0)+IF(UPPER(P16)=UPPER(P5),P4,0)+IF(UPPER(Q16)=UPPER(Q5),Q4,0)+IF(UPPER(R16)=UPPER(R5),R4,0)+IF(UPPER(S16)=UPPER(S5),S4,0)+IF(UPPER(T16)=UPPER(T5),T4,0)+IF(UPPER(U16)=UPPER(U5),U4,0)+IF(UPPER(V16)=UPPER(V5),V4,0)+IF(UPPER(W16)=UPPER(W5),W4,0)+IF(UPPER(X16)=UPPER(X5),X4,0)+IF(UPPER(Y16)=UPPER(Y5),Y4,0)+IF(UPPER(Z16)=UPPER(Z5),Z4,0)+IF(UPPER(AA16)=UPPER(AA5),AA4,0)+IF(UPPER(AB16)=UPPER(AB5),AB4,0)+IF(UPPER(AC16)=UPPER(AC5),AC4,0)+IF(UPPER(AD16)=UPPER(AD5),AD4,0)+IF(UPPER(AE16)=UPPER(AE5),AE4,0)+IF(UPPER(AF16)=UPPER(AF5),AF4,0)+IF(UPPER(AG16)=UPPER(AG5),AG4,0)+IF(UPPER(AH16)=UPPER(AH5),AH4,0)</f>
        <v>63</v>
      </c>
      <c r="E16" s="40" t="s">
        <v>44</v>
      </c>
      <c r="F16" s="40" t="s">
        <v>46</v>
      </c>
      <c r="G16" s="40" t="s">
        <v>45</v>
      </c>
      <c r="H16" s="40" t="s">
        <v>45</v>
      </c>
      <c r="I16" s="40" t="s">
        <v>44</v>
      </c>
      <c r="J16" s="40" t="s">
        <v>46</v>
      </c>
      <c r="K16" s="40" t="s">
        <v>46</v>
      </c>
      <c r="L16" s="40" t="s">
        <v>45</v>
      </c>
      <c r="M16" s="40" t="s">
        <v>44</v>
      </c>
      <c r="N16" s="40" t="s">
        <v>43</v>
      </c>
      <c r="O16" s="40" t="s">
        <v>45</v>
      </c>
      <c r="P16" s="40" t="s">
        <v>44</v>
      </c>
      <c r="Q16" s="40" t="s">
        <v>43</v>
      </c>
      <c r="R16" s="40" t="s">
        <v>43</v>
      </c>
      <c r="S16" s="40" t="s">
        <v>43</v>
      </c>
      <c r="T16" s="40" t="s">
        <v>46</v>
      </c>
      <c r="U16" s="40" t="s">
        <v>46</v>
      </c>
      <c r="V16" s="40" t="s">
        <v>44</v>
      </c>
      <c r="W16" s="40" t="s">
        <v>46</v>
      </c>
      <c r="X16" s="40" t="s">
        <v>43</v>
      </c>
      <c r="Y16" s="40" t="s">
        <v>45</v>
      </c>
      <c r="Z16" s="40" t="s">
        <v>43</v>
      </c>
      <c r="AA16" s="40" t="s">
        <v>44</v>
      </c>
      <c r="AB16" s="40" t="s">
        <v>46</v>
      </c>
      <c r="AC16" s="40" t="s">
        <v>44</v>
      </c>
      <c r="AD16" s="40" t="s">
        <v>43</v>
      </c>
      <c r="AE16" s="40" t="s">
        <v>44</v>
      </c>
      <c r="AF16" s="40" t="s">
        <v>46</v>
      </c>
      <c r="AG16" s="40" t="s">
        <v>45</v>
      </c>
      <c r="AH16" s="40" t="s">
        <v>46</v>
      </c>
    </row>
    <row r="17" ht="24.0" customHeight="1">
      <c r="A17" s="40">
        <v>2.024903709E9</v>
      </c>
      <c r="B17" s="41" t="s">
        <v>115</v>
      </c>
      <c r="C17" s="17" t="str">
        <f>IFERROR(__xludf.DUMMYFUNCTION("IFERROR(XLOOKUP(A17, IMPORTRANGE(""1dfbuNQ3U1XqtdPB70d4KK-T2neyc0ZV0mzl9Q33XU-4"", ""web!A:A""), IMPORTRANGE(""1dfbuNQ3U1XqtdPB70d4KK-T2neyc0ZV0mzl9Q33XU-4"", ""web!B:B"")), """")"),"项阳洋")</f>
        <v>项阳洋</v>
      </c>
      <c r="D17" s="17">
        <f>IF(UPPER(E17)=UPPER(E5),E4,0)+IF(UPPER(F17)=UPPER(F5),F4,0)+IF(UPPER(G17)=UPPER(G5),G4,0)+IF(UPPER(H17)=UPPER(H5),H4,0)+IF(UPPER(I17)=UPPER(I5),I4,0)+IF(UPPER(J17)=UPPER(J5),J4,0)+IF(UPPER(K17)=UPPER(K5),K4,0)+IF(UPPER(L17)=UPPER(L5),L4,0)+IF(UPPER(M17)=UPPER(M5),M4,0)+IF(UPPER(N17)=UPPER(N5),N4,0)+IF(UPPER(O17)=UPPER(O5),O4,0)+IF(UPPER(P17)=UPPER(P5),P4,0)+IF(UPPER(Q17)=UPPER(Q5),Q4,0)+IF(UPPER(R17)=UPPER(R5),R4,0)+IF(UPPER(S17)=UPPER(S5),S4,0)+IF(UPPER(T17)=UPPER(T5),T4,0)+IF(UPPER(U17)=UPPER(U5),U4,0)+IF(UPPER(V17)=UPPER(V5),V4,0)+IF(UPPER(W17)=UPPER(W5),W4,0)+IF(UPPER(X17)=UPPER(X5),X4,0)+IF(UPPER(Y17)=UPPER(Y5),Y4,0)+IF(UPPER(Z17)=UPPER(Z5),Z4,0)+IF(UPPER(AA17)=UPPER(AA5),AA4,0)+IF(UPPER(AB17)=UPPER(AB5),AB4,0)+IF(UPPER(AC17)=UPPER(AC5),AC4,0)+IF(UPPER(AD17)=UPPER(AD5),AD4,0)+IF(UPPER(AE17)=UPPER(AE5),AE4,0)+IF(UPPER(AF17)=UPPER(AF5),AF4,0)+IF(UPPER(AG17)=UPPER(AG5),AG4,0)+IF(UPPER(AH17)=UPPER(AH5),AH4,0)</f>
        <v>62</v>
      </c>
      <c r="E17" s="28" t="s">
        <v>44</v>
      </c>
      <c r="F17" s="28" t="s">
        <v>43</v>
      </c>
      <c r="G17" s="28" t="s">
        <v>43</v>
      </c>
      <c r="H17" s="28" t="s">
        <v>45</v>
      </c>
      <c r="I17" s="28" t="s">
        <v>44</v>
      </c>
      <c r="J17" s="28" t="s">
        <v>43</v>
      </c>
      <c r="K17" s="28" t="s">
        <v>46</v>
      </c>
      <c r="L17" s="28" t="s">
        <v>45</v>
      </c>
      <c r="M17" s="28" t="s">
        <v>44</v>
      </c>
      <c r="N17" s="28" t="s">
        <v>43</v>
      </c>
      <c r="O17" s="28" t="s">
        <v>45</v>
      </c>
      <c r="P17" s="28" t="s">
        <v>44</v>
      </c>
      <c r="Q17" s="28" t="s">
        <v>43</v>
      </c>
      <c r="R17" s="28" t="s">
        <v>43</v>
      </c>
      <c r="S17" s="28" t="s">
        <v>46</v>
      </c>
      <c r="T17" s="28" t="s">
        <v>43</v>
      </c>
      <c r="U17" s="28" t="s">
        <v>46</v>
      </c>
      <c r="V17" s="28" t="s">
        <v>43</v>
      </c>
      <c r="W17" s="28" t="s">
        <v>46</v>
      </c>
      <c r="X17" s="28" t="s">
        <v>46</v>
      </c>
      <c r="Y17" s="28" t="s">
        <v>45</v>
      </c>
      <c r="Z17" s="28" t="s">
        <v>43</v>
      </c>
      <c r="AA17" s="28" t="s">
        <v>44</v>
      </c>
      <c r="AB17" s="28" t="s">
        <v>46</v>
      </c>
      <c r="AC17" s="28" t="s">
        <v>45</v>
      </c>
      <c r="AD17" s="28" t="s">
        <v>44</v>
      </c>
      <c r="AE17" s="28" t="s">
        <v>44</v>
      </c>
      <c r="AF17" s="28" t="s">
        <v>45</v>
      </c>
      <c r="AG17" s="28" t="s">
        <v>45</v>
      </c>
      <c r="AH17" s="28" t="s">
        <v>44</v>
      </c>
    </row>
    <row r="18" ht="24.0" customHeight="1">
      <c r="A18" s="40">
        <v>2.024900797E9</v>
      </c>
      <c r="B18" s="42" t="s">
        <v>116</v>
      </c>
      <c r="C18" s="15" t="str">
        <f>IFERROR(__xludf.DUMMYFUNCTION("IFERROR(XLOOKUP(A18, IMPORTRANGE(""1dfbuNQ3U1XqtdPB70d4KK-T2neyc0ZV0mzl9Q33XU-4"", ""web!A:A""), IMPORTRANGE(""1dfbuNQ3U1XqtdPB70d4KK-T2neyc0ZV0mzl9Q33XU-4"", ""web!B:B"")), """")"),"周子童")</f>
        <v>周子童</v>
      </c>
      <c r="D18" s="15">
        <f>IF(UPPER(E18)=UPPER(E5),E4,0)+IF(UPPER(F18)=UPPER(F5),F4,0)+IF(UPPER(G18)=UPPER(G5),G4,0)+IF(UPPER(H18)=UPPER(H5),H4,0)+IF(UPPER(I18)=UPPER(I5),I4,0)+IF(UPPER(J18)=UPPER(J5),J4,0)+IF(UPPER(K18)=UPPER(K5),K4,0)+IF(UPPER(L18)=UPPER(L5),L4,0)+IF(UPPER(M18)=UPPER(M5),M4,0)+IF(UPPER(N18)=UPPER(N5),N4,0)+IF(UPPER(O18)=UPPER(O5),O4,0)+IF(UPPER(P18)=UPPER(P5),P4,0)+IF(UPPER(Q18)=UPPER(Q5),Q4,0)+IF(UPPER(R18)=UPPER(R5),R4,0)+IF(UPPER(S18)=UPPER(S5),S4,0)+IF(UPPER(T18)=UPPER(T5),T4,0)+IF(UPPER(U18)=UPPER(U5),U4,0)+IF(UPPER(V18)=UPPER(V5),V4,0)+IF(UPPER(W18)=UPPER(W5),W4,0)+IF(UPPER(X18)=UPPER(X5),X4,0)+IF(UPPER(Y18)=UPPER(Y5),Y4,0)+IF(UPPER(Z18)=UPPER(Z5),Z4,0)+IF(UPPER(AA18)=UPPER(AA5),AA4,0)+IF(UPPER(AB18)=UPPER(AB5),AB4,0)+IF(UPPER(AC18)=UPPER(AC5),AC4,0)+IF(UPPER(AD18)=UPPER(AD5),AD4,0)+IF(UPPER(AE18)=UPPER(AE5),AE4,0)+IF(UPPER(AF18)=UPPER(AF5),AF4,0)+IF(UPPER(AG18)=UPPER(AG5),AG4,0)+IF(UPPER(AH18)=UPPER(AH5),AH4,0)</f>
        <v>81</v>
      </c>
      <c r="E18" s="40" t="s">
        <v>44</v>
      </c>
      <c r="F18" s="40" t="s">
        <v>46</v>
      </c>
      <c r="G18" s="40" t="s">
        <v>45</v>
      </c>
      <c r="H18" s="40" t="s">
        <v>46</v>
      </c>
      <c r="I18" s="40" t="s">
        <v>44</v>
      </c>
      <c r="J18" s="40" t="s">
        <v>43</v>
      </c>
      <c r="K18" s="40" t="s">
        <v>46</v>
      </c>
      <c r="L18" s="40" t="s">
        <v>45</v>
      </c>
      <c r="M18" s="40" t="s">
        <v>45</v>
      </c>
      <c r="N18" s="40" t="s">
        <v>46</v>
      </c>
      <c r="O18" s="40" t="s">
        <v>46</v>
      </c>
      <c r="P18" s="40" t="s">
        <v>46</v>
      </c>
      <c r="Q18" s="40" t="s">
        <v>44</v>
      </c>
      <c r="R18" s="40" t="s">
        <v>43</v>
      </c>
      <c r="S18" s="40" t="s">
        <v>46</v>
      </c>
      <c r="T18" s="40" t="s">
        <v>44</v>
      </c>
      <c r="U18" s="40" t="s">
        <v>45</v>
      </c>
      <c r="V18" s="40" t="s">
        <v>43</v>
      </c>
      <c r="W18" s="40" t="s">
        <v>44</v>
      </c>
      <c r="X18" s="40" t="s">
        <v>44</v>
      </c>
      <c r="Y18" s="40" t="s">
        <v>45</v>
      </c>
      <c r="Z18" s="40" t="s">
        <v>43</v>
      </c>
      <c r="AA18" s="40" t="s">
        <v>44</v>
      </c>
      <c r="AB18" s="40" t="s">
        <v>46</v>
      </c>
      <c r="AC18" s="40" t="s">
        <v>45</v>
      </c>
      <c r="AD18" s="40" t="s">
        <v>43</v>
      </c>
      <c r="AE18" s="40" t="s">
        <v>44</v>
      </c>
      <c r="AF18" s="40" t="s">
        <v>46</v>
      </c>
      <c r="AG18" s="40" t="s">
        <v>46</v>
      </c>
      <c r="AH18" s="40" t="s">
        <v>43</v>
      </c>
    </row>
    <row r="19" ht="24.0" customHeight="1">
      <c r="A19" s="40">
        <v>2.024904787E9</v>
      </c>
      <c r="B19" s="41" t="s">
        <v>117</v>
      </c>
      <c r="C19" s="17" t="str">
        <f>IFERROR(__xludf.DUMMYFUNCTION("IFERROR(XLOOKUP(A19, IMPORTRANGE(""1dfbuNQ3U1XqtdPB70d4KK-T2neyc0ZV0mzl9Q33XU-4"", ""web!A:A""), IMPORTRANGE(""1dfbuNQ3U1XqtdPB70d4KK-T2neyc0ZV0mzl9Q33XU-4"", ""web!B:B"")), """")"),"郭星彤")</f>
        <v>郭星彤</v>
      </c>
      <c r="D19" s="17">
        <f>IF(UPPER(E19)=UPPER(E5),E4,0)+IF(UPPER(F19)=UPPER(F5),F4,0)+IF(UPPER(G19)=UPPER(G5),G4,0)+IF(UPPER(H19)=UPPER(H5),H4,0)+IF(UPPER(I19)=UPPER(I5),I4,0)+IF(UPPER(J19)=UPPER(J5),J4,0)+IF(UPPER(K19)=UPPER(K5),K4,0)+IF(UPPER(L19)=UPPER(L5),L4,0)+IF(UPPER(M19)=UPPER(M5),M4,0)+IF(UPPER(N19)=UPPER(N5),N4,0)+IF(UPPER(O19)=UPPER(O5),O4,0)+IF(UPPER(P19)=UPPER(P5),P4,0)+IF(UPPER(Q19)=UPPER(Q5),Q4,0)+IF(UPPER(R19)=UPPER(R5),R4,0)+IF(UPPER(S19)=UPPER(S5),S4,0)+IF(UPPER(T19)=UPPER(T5),T4,0)+IF(UPPER(U19)=UPPER(U5),U4,0)+IF(UPPER(V19)=UPPER(V5),V4,0)+IF(UPPER(W19)=UPPER(W5),W4,0)+IF(UPPER(X19)=UPPER(X5),X4,0)+IF(UPPER(Y19)=UPPER(Y5),Y4,0)+IF(UPPER(Z19)=UPPER(Z5),Z4,0)+IF(UPPER(AA19)=UPPER(AA5),AA4,0)+IF(UPPER(AB19)=UPPER(AB5),AB4,0)+IF(UPPER(AC19)=UPPER(AC5),AC4,0)+IF(UPPER(AD19)=UPPER(AD5),AD4,0)+IF(UPPER(AE19)=UPPER(AE5),AE4,0)+IF(UPPER(AF19)=UPPER(AF5),AF4,0)+IF(UPPER(AG19)=UPPER(AG5),AG4,0)+IF(UPPER(AH19)=UPPER(AH5),AH4,0)</f>
        <v>73</v>
      </c>
      <c r="E19" s="28" t="s">
        <v>44</v>
      </c>
      <c r="F19" s="28" t="s">
        <v>46</v>
      </c>
      <c r="G19" s="28" t="s">
        <v>43</v>
      </c>
      <c r="H19" s="28" t="s">
        <v>46</v>
      </c>
      <c r="I19" s="28" t="s">
        <v>44</v>
      </c>
      <c r="J19" s="28" t="s">
        <v>43</v>
      </c>
      <c r="K19" s="28" t="s">
        <v>44</v>
      </c>
      <c r="L19" s="28" t="s">
        <v>45</v>
      </c>
      <c r="M19" s="28" t="s">
        <v>44</v>
      </c>
      <c r="N19" s="28" t="s">
        <v>43</v>
      </c>
      <c r="O19" s="28" t="s">
        <v>44</v>
      </c>
      <c r="P19" s="28" t="s">
        <v>46</v>
      </c>
      <c r="Q19" s="28" t="s">
        <v>45</v>
      </c>
      <c r="R19" s="28" t="s">
        <v>43</v>
      </c>
      <c r="S19" s="28" t="s">
        <v>46</v>
      </c>
      <c r="T19" s="28" t="s">
        <v>43</v>
      </c>
      <c r="U19" s="28" t="s">
        <v>46</v>
      </c>
      <c r="V19" s="28" t="s">
        <v>43</v>
      </c>
      <c r="W19" s="28" t="s">
        <v>46</v>
      </c>
      <c r="X19" s="28" t="s">
        <v>44</v>
      </c>
      <c r="Y19" s="28" t="s">
        <v>45</v>
      </c>
      <c r="Z19" s="28" t="s">
        <v>43</v>
      </c>
      <c r="AA19" s="28" t="s">
        <v>44</v>
      </c>
      <c r="AB19" s="28" t="s">
        <v>46</v>
      </c>
      <c r="AC19" s="28" t="s">
        <v>45</v>
      </c>
      <c r="AD19" s="28" t="s">
        <v>43</v>
      </c>
      <c r="AE19" s="28" t="s">
        <v>44</v>
      </c>
      <c r="AF19" s="28" t="s">
        <v>46</v>
      </c>
      <c r="AG19" s="28" t="s">
        <v>43</v>
      </c>
      <c r="AH19" s="28" t="s">
        <v>44</v>
      </c>
    </row>
    <row r="20" ht="24.0" customHeight="1">
      <c r="A20" s="40">
        <v>2.024900814E9</v>
      </c>
      <c r="B20" s="14" t="s">
        <v>118</v>
      </c>
      <c r="C20" s="15" t="str">
        <f>IFERROR(__xludf.DUMMYFUNCTION("IFERROR(XLOOKUP(A20, IMPORTRANGE(""1dfbuNQ3U1XqtdPB70d4KK-T2neyc0ZV0mzl9Q33XU-4"", ""web!A:A""), IMPORTRANGE(""1dfbuNQ3U1XqtdPB70d4KK-T2neyc0ZV0mzl9Q33XU-4"", ""web!B:B"")), """")"),"周天睿")</f>
        <v>周天睿</v>
      </c>
      <c r="D20" s="15">
        <f>IF(UPPER(E20)=UPPER(E5),E4,0)+IF(UPPER(F20)=UPPER(F5),F4,0)+IF(UPPER(G20)=UPPER(G5),G4,0)+IF(UPPER(H20)=UPPER(H5),H4,0)+IF(UPPER(I20)=UPPER(I5),I4,0)+IF(UPPER(J20)=UPPER(J5),J4,0)+IF(UPPER(K20)=UPPER(K5),K4,0)+IF(UPPER(L20)=UPPER(L5),L4,0)+IF(UPPER(M20)=UPPER(M5),M4,0)+IF(UPPER(N20)=UPPER(N5),N4,0)+IF(UPPER(O20)=UPPER(O5),O4,0)+IF(UPPER(P20)=UPPER(P5),P4,0)+IF(UPPER(Q20)=UPPER(Q5),Q4,0)+IF(UPPER(R20)=UPPER(R5),R4,0)+IF(UPPER(S20)=UPPER(S5),S4,0)+IF(UPPER(T20)=UPPER(T5),T4,0)+IF(UPPER(U20)=UPPER(U5),U4,0)+IF(UPPER(V20)=UPPER(V5),V4,0)+IF(UPPER(W20)=UPPER(W5),W4,0)+IF(UPPER(X20)=UPPER(X5),X4,0)+IF(UPPER(Y20)=UPPER(Y5),Y4,0)+IF(UPPER(Z20)=UPPER(Z5),Z4,0)+IF(UPPER(AA20)=UPPER(AA5),AA4,0)+IF(UPPER(AB20)=UPPER(AB5),AB4,0)+IF(UPPER(AC20)=UPPER(AC5),AC4,0)+IF(UPPER(AD20)=UPPER(AD5),AD4,0)+IF(UPPER(AE20)=UPPER(AE5),AE4,0)+IF(UPPER(AF20)=UPPER(AF5),AF4,0)+IF(UPPER(AG20)=UPPER(AG5),AG4,0)+IF(UPPER(AH20)=UPPER(AH5),AH4,0)</f>
        <v>64</v>
      </c>
      <c r="E20" s="40" t="s">
        <v>44</v>
      </c>
      <c r="F20" s="40" t="s">
        <v>46</v>
      </c>
      <c r="G20" s="40" t="s">
        <v>46</v>
      </c>
      <c r="H20" s="40" t="s">
        <v>46</v>
      </c>
      <c r="I20" s="40" t="s">
        <v>44</v>
      </c>
      <c r="J20" s="40" t="s">
        <v>46</v>
      </c>
      <c r="K20" s="40" t="s">
        <v>46</v>
      </c>
      <c r="L20" s="40" t="s">
        <v>45</v>
      </c>
      <c r="M20" s="40" t="s">
        <v>44</v>
      </c>
      <c r="N20" s="40" t="s">
        <v>43</v>
      </c>
      <c r="O20" s="40" t="s">
        <v>46</v>
      </c>
      <c r="P20" s="40" t="s">
        <v>46</v>
      </c>
      <c r="Q20" s="40" t="s">
        <v>45</v>
      </c>
      <c r="R20" s="40" t="s">
        <v>43</v>
      </c>
      <c r="S20" s="40" t="s">
        <v>46</v>
      </c>
      <c r="T20" s="40" t="s">
        <v>43</v>
      </c>
      <c r="U20" s="40" t="s">
        <v>46</v>
      </c>
      <c r="V20" s="40" t="s">
        <v>43</v>
      </c>
      <c r="W20" s="40" t="s">
        <v>46</v>
      </c>
      <c r="X20" s="40" t="s">
        <v>45</v>
      </c>
      <c r="Y20" s="40" t="s">
        <v>45</v>
      </c>
      <c r="Z20" s="40" t="s">
        <v>46</v>
      </c>
      <c r="AA20" s="40" t="s">
        <v>44</v>
      </c>
      <c r="AB20" s="40" t="s">
        <v>46</v>
      </c>
      <c r="AC20" s="40" t="s">
        <v>44</v>
      </c>
      <c r="AD20" s="40" t="s">
        <v>46</v>
      </c>
      <c r="AE20" s="40" t="s">
        <v>44</v>
      </c>
      <c r="AF20" s="40" t="s">
        <v>46</v>
      </c>
      <c r="AG20" s="40" t="s">
        <v>45</v>
      </c>
      <c r="AH20" s="40" t="s">
        <v>44</v>
      </c>
    </row>
    <row r="21" ht="24.0" customHeight="1">
      <c r="A21" s="40">
        <v>2.02490371E9</v>
      </c>
      <c r="B21" s="41" t="s">
        <v>119</v>
      </c>
      <c r="C21" s="17" t="str">
        <f>IFERROR(__xludf.DUMMYFUNCTION("IFERROR(XLOOKUP(A21, IMPORTRANGE(""1dfbuNQ3U1XqtdPB70d4KK-T2neyc0ZV0mzl9Q33XU-4"", ""web!A:A""), IMPORTRANGE(""1dfbuNQ3U1XqtdPB70d4KK-T2neyc0ZV0mzl9Q33XU-4"", ""web!B:B"")), """")"),"谢楚天")</f>
        <v>谢楚天</v>
      </c>
      <c r="D21" s="17">
        <f>IF(UPPER(E21)=UPPER(E5),E4,0)+IF(UPPER(F21)=UPPER(F5),F4,0)+IF(UPPER(G21)=UPPER(G5),G4,0)+IF(UPPER(H21)=UPPER(H5),H4,0)+IF(UPPER(I21)=UPPER(I5),I4,0)+IF(UPPER(J21)=UPPER(J5),J4,0)+IF(UPPER(K21)=UPPER(K5),K4,0)+IF(UPPER(L21)=UPPER(L5),L4,0)+IF(UPPER(M21)=UPPER(M5),M4,0)+IF(UPPER(N21)=UPPER(N5),N4,0)+IF(UPPER(O21)=UPPER(O5),O4,0)+IF(UPPER(P21)=UPPER(P5),P4,0)+IF(UPPER(Q21)=UPPER(Q5),Q4,0)+IF(UPPER(R21)=UPPER(R5),R4,0)+IF(UPPER(S21)=UPPER(S5),S4,0)+IF(UPPER(T21)=UPPER(T5),T4,0)+IF(UPPER(U21)=UPPER(U5),U4,0)+IF(UPPER(V21)=UPPER(V5),V4,0)+IF(UPPER(W21)=UPPER(W5),W4,0)+IF(UPPER(X21)=UPPER(X5),X4,0)+IF(UPPER(Y21)=UPPER(Y5),Y4,0)+IF(UPPER(Z21)=UPPER(Z5),Z4,0)+IF(UPPER(AA21)=UPPER(AA5),AA4,0)+IF(UPPER(AB21)=UPPER(AB5),AB4,0)+IF(UPPER(AC21)=UPPER(AC5),AC4,0)+IF(UPPER(AD21)=UPPER(AD5),AD4,0)+IF(UPPER(AE21)=UPPER(AE5),AE4,0)+IF(UPPER(AF21)=UPPER(AF5),AF4,0)+IF(UPPER(AG21)=UPPER(AG5),AG4,0)+IF(UPPER(AH21)=UPPER(AH5),AH4,0)</f>
        <v>46</v>
      </c>
      <c r="E21" s="28" t="s">
        <v>46</v>
      </c>
      <c r="F21" s="28" t="s">
        <v>46</v>
      </c>
      <c r="G21" s="28" t="s">
        <v>46</v>
      </c>
      <c r="H21" s="28" t="s">
        <v>46</v>
      </c>
      <c r="I21" s="28" t="s">
        <v>44</v>
      </c>
      <c r="J21" s="28" t="s">
        <v>46</v>
      </c>
      <c r="K21" s="28" t="s">
        <v>46</v>
      </c>
      <c r="L21" s="28" t="s">
        <v>46</v>
      </c>
      <c r="M21" s="28" t="s">
        <v>44</v>
      </c>
      <c r="N21" s="28" t="s">
        <v>46</v>
      </c>
      <c r="O21" s="28" t="s">
        <v>44</v>
      </c>
      <c r="P21" s="28" t="s">
        <v>44</v>
      </c>
      <c r="Q21" s="28" t="s">
        <v>45</v>
      </c>
      <c r="R21" s="28" t="s">
        <v>43</v>
      </c>
      <c r="S21" s="28" t="s">
        <v>46</v>
      </c>
      <c r="T21" s="28" t="s">
        <v>44</v>
      </c>
      <c r="U21" s="28" t="s">
        <v>46</v>
      </c>
      <c r="V21" s="28" t="s">
        <v>44</v>
      </c>
      <c r="W21" s="28" t="s">
        <v>44</v>
      </c>
      <c r="X21" s="28" t="s">
        <v>45</v>
      </c>
      <c r="Y21" s="28" t="s">
        <v>46</v>
      </c>
      <c r="Z21" s="28" t="s">
        <v>46</v>
      </c>
      <c r="AA21" s="28" t="s">
        <v>44</v>
      </c>
      <c r="AB21" s="28" t="s">
        <v>46</v>
      </c>
      <c r="AC21" s="28" t="s">
        <v>44</v>
      </c>
      <c r="AD21" s="28" t="s">
        <v>44</v>
      </c>
      <c r="AE21" s="28" t="s">
        <v>44</v>
      </c>
      <c r="AF21" s="28" t="s">
        <v>46</v>
      </c>
      <c r="AG21" s="28" t="s">
        <v>44</v>
      </c>
      <c r="AH21" s="28" t="s">
        <v>46</v>
      </c>
    </row>
    <row r="22" ht="24.0" customHeight="1">
      <c r="A22" s="40">
        <v>2.02490409E9</v>
      </c>
      <c r="B22" s="42" t="s">
        <v>120</v>
      </c>
      <c r="C22" s="15" t="str">
        <f>IFERROR(__xludf.DUMMYFUNCTION("IFERROR(XLOOKUP(A22, IMPORTRANGE(""1dfbuNQ3U1XqtdPB70d4KK-T2neyc0ZV0mzl9Q33XU-4"", ""web!A:A""), IMPORTRANGE(""1dfbuNQ3U1XqtdPB70d4KK-T2neyc0ZV0mzl9Q33XU-4"", ""web!B:B"")), """")"),"肖梓涵")</f>
        <v>肖梓涵</v>
      </c>
      <c r="D22" s="15">
        <f>IF(UPPER(E22)=UPPER(E5),E4,0)+IF(UPPER(F22)=UPPER(F5),F4,0)+IF(UPPER(G22)=UPPER(G5),G4,0)+IF(UPPER(H22)=UPPER(H5),H4,0)+IF(UPPER(I22)=UPPER(I5),I4,0)+IF(UPPER(J22)=UPPER(J5),J4,0)+IF(UPPER(K22)=UPPER(K5),K4,0)+IF(UPPER(L22)=UPPER(L5),L4,0)+IF(UPPER(M22)=UPPER(M5),M4,0)+IF(UPPER(N22)=UPPER(N5),N4,0)+IF(UPPER(O22)=UPPER(O5),O4,0)+IF(UPPER(P22)=UPPER(P5),P4,0)+IF(UPPER(Q22)=UPPER(Q5),Q4,0)+IF(UPPER(R22)=UPPER(R5),R4,0)+IF(UPPER(S22)=UPPER(S5),S4,0)+IF(UPPER(T22)=UPPER(T5),T4,0)+IF(UPPER(U22)=UPPER(U5),U4,0)+IF(UPPER(V22)=UPPER(V5),V4,0)+IF(UPPER(W22)=UPPER(W5),W4,0)+IF(UPPER(X22)=UPPER(X5),X4,0)+IF(UPPER(Y22)=UPPER(Y5),Y4,0)+IF(UPPER(Z22)=UPPER(Z5),Z4,0)+IF(UPPER(AA22)=UPPER(AA5),AA4,0)+IF(UPPER(AB22)=UPPER(AB5),AB4,0)+IF(UPPER(AC22)=UPPER(AC5),AC4,0)+IF(UPPER(AD22)=UPPER(AD5),AD4,0)+IF(UPPER(AE22)=UPPER(AE5),AE4,0)+IF(UPPER(AF22)=UPPER(AF5),AF4,0)+IF(UPPER(AG22)=UPPER(AG5),AG4,0)+IF(UPPER(AH22)=UPPER(AH5),AH4,0)</f>
        <v>73</v>
      </c>
      <c r="E22" s="40" t="s">
        <v>39</v>
      </c>
      <c r="F22" s="40" t="s">
        <v>46</v>
      </c>
      <c r="G22" s="40" t="s">
        <v>43</v>
      </c>
      <c r="H22" s="40" t="s">
        <v>46</v>
      </c>
      <c r="I22" s="40" t="s">
        <v>44</v>
      </c>
      <c r="J22" s="40" t="s">
        <v>43</v>
      </c>
      <c r="K22" s="40" t="s">
        <v>44</v>
      </c>
      <c r="L22" s="40" t="s">
        <v>45</v>
      </c>
      <c r="M22" s="40" t="s">
        <v>44</v>
      </c>
      <c r="N22" s="40" t="s">
        <v>43</v>
      </c>
      <c r="O22" s="40" t="s">
        <v>44</v>
      </c>
      <c r="P22" s="40" t="s">
        <v>46</v>
      </c>
      <c r="Q22" s="40" t="s">
        <v>45</v>
      </c>
      <c r="R22" s="40" t="s">
        <v>43</v>
      </c>
      <c r="S22" s="40" t="s">
        <v>46</v>
      </c>
      <c r="T22" s="40" t="s">
        <v>43</v>
      </c>
      <c r="U22" s="40" t="s">
        <v>46</v>
      </c>
      <c r="V22" s="40" t="s">
        <v>43</v>
      </c>
      <c r="W22" s="40" t="s">
        <v>46</v>
      </c>
      <c r="X22" s="40" t="s">
        <v>44</v>
      </c>
      <c r="Y22" s="40" t="s">
        <v>45</v>
      </c>
      <c r="Z22" s="40" t="s">
        <v>43</v>
      </c>
      <c r="AA22" s="40" t="s">
        <v>44</v>
      </c>
      <c r="AB22" s="40" t="s">
        <v>46</v>
      </c>
      <c r="AC22" s="40" t="s">
        <v>45</v>
      </c>
      <c r="AD22" s="40" t="s">
        <v>43</v>
      </c>
      <c r="AE22" s="40" t="s">
        <v>44</v>
      </c>
      <c r="AF22" s="40" t="s">
        <v>46</v>
      </c>
      <c r="AG22" s="40" t="s">
        <v>43</v>
      </c>
      <c r="AH22" s="40" t="s">
        <v>44</v>
      </c>
    </row>
    <row r="23" ht="24.0" customHeight="1">
      <c r="A23" s="13">
        <v>2.024902257E9</v>
      </c>
      <c r="B23" s="41" t="s">
        <v>121</v>
      </c>
      <c r="C23" s="17" t="str">
        <f>IFERROR(__xludf.DUMMYFUNCTION("IFERROR(XLOOKUP(A23, IMPORTRANGE(""1dfbuNQ3U1XqtdPB70d4KK-T2neyc0ZV0mzl9Q33XU-4"", ""web!A:A""), IMPORTRANGE(""1dfbuNQ3U1XqtdPB70d4KK-T2neyc0ZV0mzl9Q33XU-4"", ""web!B:B"")), """")"),"程星凯")</f>
        <v>程星凯</v>
      </c>
      <c r="D23" s="17">
        <f>IF(UPPER(E23)=UPPER(E5),E4,0)+IF(UPPER(F23)=UPPER(F5),F4,0)+IF(UPPER(G23)=UPPER(G5),G4,0)+IF(UPPER(H23)=UPPER(H5),H4,0)+IF(UPPER(I23)=UPPER(I5),I4,0)+IF(UPPER(J23)=UPPER(J5),J4,0)+IF(UPPER(K23)=UPPER(K5),K4,0)+IF(UPPER(L23)=UPPER(L5),L4,0)+IF(UPPER(M23)=UPPER(M5),M4,0)+IF(UPPER(N23)=UPPER(N5),N4,0)+IF(UPPER(O23)=UPPER(O5),O4,0)+IF(UPPER(P23)=UPPER(P5),P4,0)+IF(UPPER(Q23)=UPPER(Q5),Q4,0)+IF(UPPER(R23)=UPPER(R5),R4,0)+IF(UPPER(S23)=UPPER(S5),S4,0)+IF(UPPER(T23)=UPPER(T5),T4,0)+IF(UPPER(U23)=UPPER(U5),U4,0)+IF(UPPER(V23)=UPPER(V5),V4,0)+IF(UPPER(W23)=UPPER(W5),W4,0)+IF(UPPER(X23)=UPPER(X5),X4,0)+IF(UPPER(Y23)=UPPER(Y5),Y4,0)+IF(UPPER(Z23)=UPPER(Z5),Z4,0)+IF(UPPER(AA23)=UPPER(AA5),AA4,0)+IF(UPPER(AB23)=UPPER(AB5),AB4,0)+IF(UPPER(AC23)=UPPER(AC5),AC4,0)+IF(UPPER(AD23)=UPPER(AD5),AD4,0)+IF(UPPER(AE23)=UPPER(AE5),AE4,0)+IF(UPPER(AF23)=UPPER(AF5),AF4,0)+IF(UPPER(AG23)=UPPER(AG5),AG4,0)+IF(UPPER(AH23)=UPPER(AH5),AH4,0)</f>
        <v>83</v>
      </c>
      <c r="E23" s="28" t="s">
        <v>44</v>
      </c>
      <c r="F23" s="28" t="s">
        <v>46</v>
      </c>
      <c r="G23" s="28" t="s">
        <v>45</v>
      </c>
      <c r="H23" s="28" t="s">
        <v>46</v>
      </c>
      <c r="I23" s="28" t="s">
        <v>44</v>
      </c>
      <c r="J23" s="28" t="s">
        <v>43</v>
      </c>
      <c r="K23" s="28" t="s">
        <v>46</v>
      </c>
      <c r="L23" s="28" t="s">
        <v>45</v>
      </c>
      <c r="M23" s="28" t="s">
        <v>44</v>
      </c>
      <c r="N23" s="28" t="s">
        <v>43</v>
      </c>
      <c r="O23" s="28" t="s">
        <v>46</v>
      </c>
      <c r="P23" s="28" t="s">
        <v>44</v>
      </c>
      <c r="Q23" s="28" t="s">
        <v>45</v>
      </c>
      <c r="R23" s="28" t="s">
        <v>43</v>
      </c>
      <c r="S23" s="28" t="s">
        <v>46</v>
      </c>
      <c r="T23" s="28" t="s">
        <v>45</v>
      </c>
      <c r="U23" s="28" t="s">
        <v>43</v>
      </c>
      <c r="V23" s="28" t="s">
        <v>43</v>
      </c>
      <c r="W23" s="28" t="s">
        <v>46</v>
      </c>
      <c r="X23" s="28" t="s">
        <v>44</v>
      </c>
      <c r="Y23" s="28" t="s">
        <v>45</v>
      </c>
      <c r="Z23" s="28" t="s">
        <v>43</v>
      </c>
      <c r="AA23" s="28" t="s">
        <v>44</v>
      </c>
      <c r="AB23" s="28" t="s">
        <v>46</v>
      </c>
      <c r="AC23" s="28" t="s">
        <v>45</v>
      </c>
      <c r="AD23" s="28" t="s">
        <v>46</v>
      </c>
      <c r="AE23" s="28" t="s">
        <v>39</v>
      </c>
      <c r="AF23" s="28" t="s">
        <v>44</v>
      </c>
      <c r="AG23" s="28" t="s">
        <v>46</v>
      </c>
      <c r="AH23" s="28" t="s">
        <v>43</v>
      </c>
    </row>
    <row r="24" ht="24.0" customHeight="1">
      <c r="A24" s="40">
        <v>2.024903711E9</v>
      </c>
      <c r="B24" s="42" t="s">
        <v>122</v>
      </c>
      <c r="C24" s="15" t="str">
        <f>IFERROR(__xludf.DUMMYFUNCTION("IFERROR(XLOOKUP(A24, IMPORTRANGE(""1dfbuNQ3U1XqtdPB70d4KK-T2neyc0ZV0mzl9Q33XU-4"", ""web!A:A""), IMPORTRANGE(""1dfbuNQ3U1XqtdPB70d4KK-T2neyc0ZV0mzl9Q33XU-4"", ""web!B:B"")), """")"),"黄玮博")</f>
        <v>黄玮博</v>
      </c>
      <c r="D24" s="15">
        <f>IF(UPPER(E24)=UPPER(E5),E4,0)+IF(UPPER(F24)=UPPER(F5),F4,0)+IF(UPPER(G24)=UPPER(G5),G4,0)+IF(UPPER(H24)=UPPER(H5),H4,0)+IF(UPPER(I24)=UPPER(I5),I4,0)+IF(UPPER(J24)=UPPER(J5),J4,0)+IF(UPPER(K24)=UPPER(K5),K4,0)+IF(UPPER(L24)=UPPER(L5),L4,0)+IF(UPPER(M24)=UPPER(M5),M4,0)+IF(UPPER(N24)=UPPER(N5),N4,0)+IF(UPPER(O24)=UPPER(O5),O4,0)+IF(UPPER(P24)=UPPER(P5),P4,0)+IF(UPPER(Q24)=UPPER(Q5),Q4,0)+IF(UPPER(R24)=UPPER(R5),R4,0)+IF(UPPER(S24)=UPPER(S5),S4,0)+IF(UPPER(T24)=UPPER(T5),T4,0)+IF(UPPER(U24)=UPPER(U5),U4,0)+IF(UPPER(V24)=UPPER(V5),V4,0)+IF(UPPER(W24)=UPPER(W5),W4,0)+IF(UPPER(X24)=UPPER(X5),X4,0)+IF(UPPER(Y24)=UPPER(Y5),Y4,0)+IF(UPPER(Z24)=UPPER(Z5),Z4,0)+IF(UPPER(AA24)=UPPER(AA5),AA4,0)+IF(UPPER(AB24)=UPPER(AB5),AB4,0)+IF(UPPER(AC24)=UPPER(AC5),AC4,0)+IF(UPPER(AD24)=UPPER(AD5),AD4,0)+IF(UPPER(AE24)=UPPER(AE5),AE4,0)+IF(UPPER(AF24)=UPPER(AF5),AF4,0)+IF(UPPER(AG24)=UPPER(AG5),AG4,0)+IF(UPPER(AH24)=UPPER(AH5),AH4,0)</f>
        <v>83</v>
      </c>
      <c r="E24" s="40" t="s">
        <v>46</v>
      </c>
      <c r="F24" s="40" t="s">
        <v>46</v>
      </c>
      <c r="G24" s="40" t="s">
        <v>43</v>
      </c>
      <c r="H24" s="40" t="s">
        <v>46</v>
      </c>
      <c r="I24" s="40" t="s">
        <v>44</v>
      </c>
      <c r="J24" s="40" t="s">
        <v>43</v>
      </c>
      <c r="K24" s="40" t="s">
        <v>46</v>
      </c>
      <c r="L24" s="40" t="s">
        <v>45</v>
      </c>
      <c r="M24" s="40" t="s">
        <v>44</v>
      </c>
      <c r="N24" s="40" t="s">
        <v>43</v>
      </c>
      <c r="O24" s="40" t="s">
        <v>46</v>
      </c>
      <c r="P24" s="40" t="s">
        <v>46</v>
      </c>
      <c r="Q24" s="40" t="s">
        <v>45</v>
      </c>
      <c r="R24" s="40" t="s">
        <v>43</v>
      </c>
      <c r="S24" s="40" t="s">
        <v>46</v>
      </c>
      <c r="T24" s="40" t="s">
        <v>44</v>
      </c>
      <c r="U24" s="40" t="s">
        <v>43</v>
      </c>
      <c r="V24" s="40" t="s">
        <v>43</v>
      </c>
      <c r="W24" s="40" t="s">
        <v>46</v>
      </c>
      <c r="X24" s="40" t="s">
        <v>44</v>
      </c>
      <c r="Y24" s="40" t="s">
        <v>45</v>
      </c>
      <c r="Z24" s="40" t="s">
        <v>43</v>
      </c>
      <c r="AA24" s="40" t="s">
        <v>44</v>
      </c>
      <c r="AB24" s="40" t="s">
        <v>46</v>
      </c>
      <c r="AC24" s="40" t="s">
        <v>43</v>
      </c>
      <c r="AD24" s="40" t="s">
        <v>43</v>
      </c>
      <c r="AE24" s="40" t="s">
        <v>44</v>
      </c>
      <c r="AF24" s="40" t="s">
        <v>46</v>
      </c>
      <c r="AG24" s="40" t="s">
        <v>45</v>
      </c>
      <c r="AH24" s="40" t="s">
        <v>43</v>
      </c>
    </row>
    <row r="25" ht="24.0" customHeight="1">
      <c r="A25" s="40">
        <v>2.024904087E9</v>
      </c>
      <c r="B25" s="41" t="s">
        <v>123</v>
      </c>
      <c r="C25" s="17" t="str">
        <f>IFERROR(__xludf.DUMMYFUNCTION("IFERROR(XLOOKUP(A25, IMPORTRANGE(""1dfbuNQ3U1XqtdPB70d4KK-T2neyc0ZV0mzl9Q33XU-4"", ""web!A:A""), IMPORTRANGE(""1dfbuNQ3U1XqtdPB70d4KK-T2neyc0ZV0mzl9Q33XU-4"", ""web!B:B"")), """")"),"李雪健")</f>
        <v>李雪健</v>
      </c>
      <c r="D25" s="17">
        <f>IF(UPPER(E25)=UPPER(E5),E4,0)+IF(UPPER(F25)=UPPER(F5),F4,0)+IF(UPPER(G25)=UPPER(G5),G4,0)+IF(UPPER(H25)=UPPER(H5),H4,0)+IF(UPPER(I25)=UPPER(I5),I4,0)+IF(UPPER(J25)=UPPER(J5),J4,0)+IF(UPPER(K25)=UPPER(K5),K4,0)+IF(UPPER(L25)=UPPER(L5),L4,0)+IF(UPPER(M25)=UPPER(M5),M4,0)+IF(UPPER(N25)=UPPER(N5),N4,0)+IF(UPPER(O25)=UPPER(O5),O4,0)+IF(UPPER(P25)=UPPER(P5),P4,0)+IF(UPPER(Q25)=UPPER(Q5),Q4,0)+IF(UPPER(R25)=UPPER(R5),R4,0)+IF(UPPER(S25)=UPPER(S5),S4,0)+IF(UPPER(T25)=UPPER(T5),T4,0)+IF(UPPER(U25)=UPPER(U5),U4,0)+IF(UPPER(V25)=UPPER(V5),V4,0)+IF(UPPER(W25)=UPPER(W5),W4,0)+IF(UPPER(X25)=UPPER(X5),X4,0)+IF(UPPER(Y25)=UPPER(Y5),Y4,0)+IF(UPPER(Z25)=UPPER(Z5),Z4,0)+IF(UPPER(AA25)=UPPER(AA5),AA4,0)+IF(UPPER(AB25)=UPPER(AB5),AB4,0)+IF(UPPER(AC25)=UPPER(AC5),AC4,0)+IF(UPPER(AD25)=UPPER(AD5),AD4,0)+IF(UPPER(AE25)=UPPER(AE5),AE4,0)+IF(UPPER(AF25)=UPPER(AF5),AF4,0)+IF(UPPER(AG25)=UPPER(AG5),AG4,0)+IF(UPPER(AH25)=UPPER(AH5),AH4,0)</f>
        <v>57</v>
      </c>
      <c r="E25" s="28" t="s">
        <v>44</v>
      </c>
      <c r="F25" s="28" t="s">
        <v>46</v>
      </c>
      <c r="G25" s="28" t="s">
        <v>45</v>
      </c>
      <c r="H25" s="28" t="s">
        <v>46</v>
      </c>
      <c r="I25" s="28" t="s">
        <v>44</v>
      </c>
      <c r="J25" s="28" t="s">
        <v>43</v>
      </c>
      <c r="K25" s="28" t="s">
        <v>46</v>
      </c>
      <c r="L25" s="28" t="s">
        <v>45</v>
      </c>
      <c r="M25" s="28" t="s">
        <v>44</v>
      </c>
      <c r="N25" s="28" t="s">
        <v>46</v>
      </c>
      <c r="O25" s="28" t="s">
        <v>46</v>
      </c>
      <c r="P25" s="28" t="s">
        <v>45</v>
      </c>
      <c r="Q25" s="28" t="s">
        <v>45</v>
      </c>
      <c r="R25" s="28" t="s">
        <v>45</v>
      </c>
      <c r="S25" s="28" t="s">
        <v>46</v>
      </c>
      <c r="T25" s="28" t="s">
        <v>44</v>
      </c>
      <c r="U25" s="28" t="s">
        <v>46</v>
      </c>
      <c r="V25" s="28" t="s">
        <v>46</v>
      </c>
      <c r="W25" s="28" t="s">
        <v>44</v>
      </c>
      <c r="X25" s="28" t="s">
        <v>45</v>
      </c>
      <c r="Y25" s="28" t="s">
        <v>45</v>
      </c>
      <c r="Z25" s="28" t="s">
        <v>46</v>
      </c>
      <c r="AA25" s="28" t="s">
        <v>44</v>
      </c>
      <c r="AB25" s="28" t="s">
        <v>43</v>
      </c>
      <c r="AC25" s="28" t="s">
        <v>44</v>
      </c>
      <c r="AD25" s="28" t="s">
        <v>46</v>
      </c>
      <c r="AE25" s="28" t="s">
        <v>44</v>
      </c>
      <c r="AF25" s="28" t="s">
        <v>45</v>
      </c>
      <c r="AG25" s="28" t="s">
        <v>45</v>
      </c>
      <c r="AH25" s="28" t="s">
        <v>43</v>
      </c>
    </row>
    <row r="26" ht="24.0" customHeight="1">
      <c r="A26" s="40">
        <v>2.024903387E9</v>
      </c>
      <c r="B26" s="42" t="s">
        <v>124</v>
      </c>
      <c r="C26" s="15" t="str">
        <f>IFERROR(__xludf.DUMMYFUNCTION("IFERROR(XLOOKUP(A26, IMPORTRANGE(""1dfbuNQ3U1XqtdPB70d4KK-T2neyc0ZV0mzl9Q33XU-4"", ""web!A:A""), IMPORTRANGE(""1dfbuNQ3U1XqtdPB70d4KK-T2neyc0ZV0mzl9Q33XU-4"", ""web!B:B"")), """")"),"彭康")</f>
        <v>彭康</v>
      </c>
      <c r="D26" s="15">
        <f>IF(UPPER(E26)=UPPER(E5),E4,0)+IF(UPPER(F26)=UPPER(F5),F4,0)+IF(UPPER(G26)=UPPER(G5),G4,0)+IF(UPPER(H26)=UPPER(H5),H4,0)+IF(UPPER(I26)=UPPER(I5),I4,0)+IF(UPPER(J26)=UPPER(J5),J4,0)+IF(UPPER(K26)=UPPER(K5),K4,0)+IF(UPPER(L26)=UPPER(L5),L4,0)+IF(UPPER(M26)=UPPER(M5),M4,0)+IF(UPPER(N26)=UPPER(N5),N4,0)+IF(UPPER(O26)=UPPER(O5),O4,0)+IF(UPPER(P26)=UPPER(P5),P4,0)+IF(UPPER(Q26)=UPPER(Q5),Q4,0)+IF(UPPER(R26)=UPPER(R5),R4,0)+IF(UPPER(S26)=UPPER(S5),S4,0)+IF(UPPER(T26)=UPPER(T5),T4,0)+IF(UPPER(U26)=UPPER(U5),U4,0)+IF(UPPER(V26)=UPPER(V5),V4,0)+IF(UPPER(W26)=UPPER(W5),W4,0)+IF(UPPER(X26)=UPPER(X5),X4,0)+IF(UPPER(Y26)=UPPER(Y5),Y4,0)+IF(UPPER(Z26)=UPPER(Z5),Z4,0)+IF(UPPER(AA26)=UPPER(AA5),AA4,0)+IF(UPPER(AB26)=UPPER(AB5),AB4,0)+IF(UPPER(AC26)=UPPER(AC5),AC4,0)+IF(UPPER(AD26)=UPPER(AD5),AD4,0)+IF(UPPER(AE26)=UPPER(AE5),AE4,0)+IF(UPPER(AF26)=UPPER(AF5),AF4,0)+IF(UPPER(AG26)=UPPER(AG5),AG4,0)+IF(UPPER(AH26)=UPPER(AH5),AH4,0)</f>
        <v>80</v>
      </c>
      <c r="E26" s="40" t="s">
        <v>44</v>
      </c>
      <c r="F26" s="40" t="s">
        <v>46</v>
      </c>
      <c r="G26" s="40" t="s">
        <v>45</v>
      </c>
      <c r="H26" s="40" t="s">
        <v>46</v>
      </c>
      <c r="I26" s="40" t="s">
        <v>44</v>
      </c>
      <c r="J26" s="40" t="s">
        <v>43</v>
      </c>
      <c r="K26" s="40" t="s">
        <v>46</v>
      </c>
      <c r="L26" s="40" t="s">
        <v>45</v>
      </c>
      <c r="M26" s="40" t="s">
        <v>44</v>
      </c>
      <c r="N26" s="40" t="s">
        <v>43</v>
      </c>
      <c r="O26" s="40" t="s">
        <v>46</v>
      </c>
      <c r="P26" s="40" t="s">
        <v>46</v>
      </c>
      <c r="Q26" s="40" t="s">
        <v>45</v>
      </c>
      <c r="R26" s="40" t="s">
        <v>44</v>
      </c>
      <c r="S26" s="40" t="s">
        <v>46</v>
      </c>
      <c r="T26" s="40" t="s">
        <v>44</v>
      </c>
      <c r="U26" s="40" t="s">
        <v>45</v>
      </c>
      <c r="V26" s="40" t="s">
        <v>43</v>
      </c>
      <c r="W26" s="40" t="s">
        <v>46</v>
      </c>
      <c r="X26" s="40" t="s">
        <v>45</v>
      </c>
      <c r="Y26" s="40" t="s">
        <v>45</v>
      </c>
      <c r="Z26" s="40" t="s">
        <v>43</v>
      </c>
      <c r="AA26" s="40" t="s">
        <v>44</v>
      </c>
      <c r="AB26" s="40" t="s">
        <v>46</v>
      </c>
      <c r="AC26" s="40" t="s">
        <v>45</v>
      </c>
      <c r="AD26" s="40" t="s">
        <v>46</v>
      </c>
      <c r="AE26" s="40" t="s">
        <v>44</v>
      </c>
      <c r="AF26" s="40" t="s">
        <v>46</v>
      </c>
      <c r="AG26" s="40" t="s">
        <v>45</v>
      </c>
      <c r="AH26" s="40" t="s">
        <v>44</v>
      </c>
    </row>
    <row r="27" ht="24.0" customHeight="1">
      <c r="A27" s="40">
        <v>2.024904717E9</v>
      </c>
      <c r="B27" s="41" t="s">
        <v>125</v>
      </c>
      <c r="C27" s="17" t="str">
        <f>IFERROR(__xludf.DUMMYFUNCTION("IFERROR(XLOOKUP(A27, IMPORTRANGE(""1dfbuNQ3U1XqtdPB70d4KK-T2neyc0ZV0mzl9Q33XU-4"", ""web!A:A""), IMPORTRANGE(""1dfbuNQ3U1XqtdPB70d4KK-T2neyc0ZV0mzl9Q33XU-4"", ""web!B:B"")), """")"),"李宇飞")</f>
        <v>李宇飞</v>
      </c>
      <c r="D27" s="17">
        <f>IF(UPPER(E27)=UPPER(E5),E4,0)+IF(UPPER(F27)=UPPER(F5),F4,0)+IF(UPPER(G27)=UPPER(G5),G4,0)+IF(UPPER(H27)=UPPER(H5),H4,0)+IF(UPPER(I27)=UPPER(I5),I4,0)+IF(UPPER(J27)=UPPER(J5),J4,0)+IF(UPPER(K27)=UPPER(K5),K4,0)+IF(UPPER(L27)=UPPER(L5),L4,0)+IF(UPPER(M27)=UPPER(M5),M4,0)+IF(UPPER(N27)=UPPER(N5),N4,0)+IF(UPPER(O27)=UPPER(O5),O4,0)+IF(UPPER(P27)=UPPER(P5),P4,0)+IF(UPPER(Q27)=UPPER(Q5),Q4,0)+IF(UPPER(R27)=UPPER(R5),R4,0)+IF(UPPER(S27)=UPPER(S5),S4,0)+IF(UPPER(T27)=UPPER(T5),T4,0)+IF(UPPER(U27)=UPPER(U5),U4,0)+IF(UPPER(V27)=UPPER(V5),V4,0)+IF(UPPER(W27)=UPPER(W5),W4,0)+IF(UPPER(X27)=UPPER(X5),X4,0)+IF(UPPER(Y27)=UPPER(Y5),Y4,0)+IF(UPPER(Z27)=UPPER(Z5),Z4,0)+IF(UPPER(AA27)=UPPER(AA5),AA4,0)+IF(UPPER(AB27)=UPPER(AB5),AB4,0)+IF(UPPER(AC27)=UPPER(AC5),AC4,0)+IF(UPPER(AD27)=UPPER(AD5),AD4,0)+IF(UPPER(AE27)=UPPER(AE5),AE4,0)+IF(UPPER(AF27)=UPPER(AF5),AF4,0)+IF(UPPER(AG27)=UPPER(AG5),AG4,0)+IF(UPPER(AH27)=UPPER(AH5),AH4,0)</f>
        <v>51</v>
      </c>
      <c r="E27" s="28" t="s">
        <v>46</v>
      </c>
      <c r="F27" s="28" t="s">
        <v>46</v>
      </c>
      <c r="G27" s="28" t="s">
        <v>43</v>
      </c>
      <c r="H27" s="28" t="s">
        <v>46</v>
      </c>
      <c r="I27" s="28" t="s">
        <v>44</v>
      </c>
      <c r="J27" s="28" t="s">
        <v>46</v>
      </c>
      <c r="K27" s="28" t="s">
        <v>46</v>
      </c>
      <c r="L27" s="28" t="s">
        <v>45</v>
      </c>
      <c r="M27" s="28" t="s">
        <v>44</v>
      </c>
      <c r="N27" s="28" t="s">
        <v>46</v>
      </c>
      <c r="O27" s="28" t="s">
        <v>43</v>
      </c>
      <c r="P27" s="28" t="s">
        <v>44</v>
      </c>
      <c r="Q27" s="28" t="s">
        <v>44</v>
      </c>
      <c r="R27" s="28" t="s">
        <v>46</v>
      </c>
      <c r="S27" s="28" t="s">
        <v>46</v>
      </c>
      <c r="T27" s="28" t="s">
        <v>44</v>
      </c>
      <c r="U27" s="28" t="s">
        <v>45</v>
      </c>
      <c r="V27" s="28" t="s">
        <v>43</v>
      </c>
      <c r="W27" s="28" t="s">
        <v>44</v>
      </c>
      <c r="X27" s="28" t="s">
        <v>46</v>
      </c>
      <c r="Y27" s="28" t="s">
        <v>45</v>
      </c>
      <c r="Z27" s="28" t="s">
        <v>46</v>
      </c>
      <c r="AA27" s="28" t="s">
        <v>43</v>
      </c>
      <c r="AB27" s="28" t="s">
        <v>46</v>
      </c>
      <c r="AC27" s="28" t="s">
        <v>44</v>
      </c>
      <c r="AD27" s="28" t="s">
        <v>43</v>
      </c>
      <c r="AE27" s="28" t="s">
        <v>46</v>
      </c>
      <c r="AF27" s="28" t="s">
        <v>46</v>
      </c>
      <c r="AG27" s="28" t="s">
        <v>45</v>
      </c>
      <c r="AH27" s="28" t="s">
        <v>46</v>
      </c>
    </row>
    <row r="28" ht="24.0" customHeight="1">
      <c r="A28" s="40">
        <v>2.0249008E9</v>
      </c>
      <c r="B28" s="42" t="s">
        <v>126</v>
      </c>
      <c r="C28" s="15" t="str">
        <f>IFERROR(__xludf.DUMMYFUNCTION("IFERROR(XLOOKUP(A28, IMPORTRANGE(""1dfbuNQ3U1XqtdPB70d4KK-T2neyc0ZV0mzl9Q33XU-4"", ""web!A:A""), IMPORTRANGE(""1dfbuNQ3U1XqtdPB70d4KK-T2neyc0ZV0mzl9Q33XU-4"", ""web!B:B"")), """")"),"马靖翔")</f>
        <v>马靖翔</v>
      </c>
      <c r="D28" s="15">
        <f>IF(UPPER(E28)=UPPER(E5),E4,0)+IF(UPPER(F28)=UPPER(F5),F4,0)+IF(UPPER(G28)=UPPER(G5),G4,0)+IF(UPPER(H28)=UPPER(H5),H4,0)+IF(UPPER(I28)=UPPER(I5),I4,0)+IF(UPPER(J28)=UPPER(J5),J4,0)+IF(UPPER(K28)=UPPER(K5),K4,0)+IF(UPPER(L28)=UPPER(L5),L4,0)+IF(UPPER(M28)=UPPER(M5),M4,0)+IF(UPPER(N28)=UPPER(N5),N4,0)+IF(UPPER(O28)=UPPER(O5),O4,0)+IF(UPPER(P28)=UPPER(P5),P4,0)+IF(UPPER(Q28)=UPPER(Q5),Q4,0)+IF(UPPER(R28)=UPPER(R5),R4,0)+IF(UPPER(S28)=UPPER(S5),S4,0)+IF(UPPER(T28)=UPPER(T5),T4,0)+IF(UPPER(U28)=UPPER(U5),U4,0)+IF(UPPER(V28)=UPPER(V5),V4,0)+IF(UPPER(W28)=UPPER(W5),W4,0)+IF(UPPER(X28)=UPPER(X5),X4,0)+IF(UPPER(Y28)=UPPER(Y5),Y4,0)+IF(UPPER(Z28)=UPPER(Z5),Z4,0)+IF(UPPER(AA28)=UPPER(AA5),AA4,0)+IF(UPPER(AB28)=UPPER(AB5),AB4,0)+IF(UPPER(AC28)=UPPER(AC5),AC4,0)+IF(UPPER(AD28)=UPPER(AD5),AD4,0)+IF(UPPER(AE28)=UPPER(AE5),AE4,0)+IF(UPPER(AF28)=UPPER(AF5),AF4,0)+IF(UPPER(AG28)=UPPER(AG5),AG4,0)+IF(UPPER(AH28)=UPPER(AH5),AH4,0)</f>
        <v>60</v>
      </c>
      <c r="E28" s="40" t="s">
        <v>44</v>
      </c>
      <c r="F28" s="40" t="s">
        <v>44</v>
      </c>
      <c r="G28" s="40" t="s">
        <v>43</v>
      </c>
      <c r="H28" s="40" t="s">
        <v>46</v>
      </c>
      <c r="I28" s="40" t="s">
        <v>44</v>
      </c>
      <c r="J28" s="40" t="s">
        <v>46</v>
      </c>
      <c r="K28" s="40" t="s">
        <v>46</v>
      </c>
      <c r="L28" s="40" t="s">
        <v>43</v>
      </c>
      <c r="M28" s="40" t="s">
        <v>44</v>
      </c>
      <c r="N28" s="40" t="s">
        <v>45</v>
      </c>
      <c r="O28" s="40" t="s">
        <v>44</v>
      </c>
      <c r="P28" s="40" t="s">
        <v>44</v>
      </c>
      <c r="Q28" s="40" t="s">
        <v>45</v>
      </c>
      <c r="R28" s="40" t="s">
        <v>44</v>
      </c>
      <c r="S28" s="40" t="s">
        <v>46</v>
      </c>
      <c r="T28" s="40" t="s">
        <v>46</v>
      </c>
      <c r="U28" s="40" t="s">
        <v>45</v>
      </c>
      <c r="V28" s="40" t="s">
        <v>44</v>
      </c>
      <c r="W28" s="40" t="s">
        <v>43</v>
      </c>
      <c r="X28" s="40" t="s">
        <v>44</v>
      </c>
      <c r="Y28" s="40" t="s">
        <v>45</v>
      </c>
      <c r="Z28" s="40" t="s">
        <v>46</v>
      </c>
      <c r="AA28" s="40" t="s">
        <v>46</v>
      </c>
      <c r="AB28" s="40" t="s">
        <v>46</v>
      </c>
      <c r="AC28" s="40" t="s">
        <v>45</v>
      </c>
      <c r="AD28" s="40" t="s">
        <v>43</v>
      </c>
      <c r="AE28" s="40" t="s">
        <v>44</v>
      </c>
      <c r="AF28" s="40" t="s">
        <v>46</v>
      </c>
      <c r="AG28" s="40" t="s">
        <v>45</v>
      </c>
      <c r="AH28" s="40" t="s">
        <v>43</v>
      </c>
    </row>
    <row r="29" ht="24.0" customHeight="1">
      <c r="A29" s="13">
        <v>2.024903718E9</v>
      </c>
      <c r="B29" s="41" t="s">
        <v>127</v>
      </c>
      <c r="C29" s="17" t="str">
        <f>IFERROR(__xludf.DUMMYFUNCTION("IFERROR(XLOOKUP(A29, IMPORTRANGE(""1dfbuNQ3U1XqtdPB70d4KK-T2neyc0ZV0mzl9Q33XU-4"", ""web!A:A""), IMPORTRANGE(""1dfbuNQ3U1XqtdPB70d4KK-T2neyc0ZV0mzl9Q33XU-4"", ""web!B:B"")), """")"),"应铭豪")</f>
        <v>应铭豪</v>
      </c>
      <c r="D29" s="17">
        <f>IF(UPPER(E29)=UPPER(E5),E4,0)+IF(UPPER(F29)=UPPER(F5),F4,0)+IF(UPPER(G29)=UPPER(G5),G4,0)+IF(UPPER(H29)=UPPER(H5),H4,0)+IF(UPPER(I29)=UPPER(I5),I4,0)+IF(UPPER(J29)=UPPER(J5),J4,0)+IF(UPPER(K29)=UPPER(K5),K4,0)+IF(UPPER(L29)=UPPER(L5),L4,0)+IF(UPPER(M29)=UPPER(M5),M4,0)+IF(UPPER(N29)=UPPER(N5),N4,0)+IF(UPPER(O29)=UPPER(O5),O4,0)+IF(UPPER(P29)=UPPER(P5),P4,0)+IF(UPPER(Q29)=UPPER(Q5),Q4,0)+IF(UPPER(R29)=UPPER(R5),R4,0)+IF(UPPER(S29)=UPPER(S5),S4,0)+IF(UPPER(T29)=UPPER(T5),T4,0)+IF(UPPER(U29)=UPPER(U5),U4,0)+IF(UPPER(V29)=UPPER(V5),V4,0)+IF(UPPER(W29)=UPPER(W5),W4,0)+IF(UPPER(X29)=UPPER(X5),X4,0)+IF(UPPER(Y29)=UPPER(Y5),Y4,0)+IF(UPPER(Z29)=UPPER(Z5),Z4,0)+IF(UPPER(AA29)=UPPER(AA5),AA4,0)+IF(UPPER(AB29)=UPPER(AB5),AB4,0)+IF(UPPER(AC29)=UPPER(AC5),AC4,0)+IF(UPPER(AD29)=UPPER(AD5),AD4,0)+IF(UPPER(AE29)=UPPER(AE5),AE4,0)+IF(UPPER(AF29)=UPPER(AF5),AF4,0)+IF(UPPER(AG29)=UPPER(AG5),AG4,0)+IF(UPPER(AH29)=UPPER(AH5),AH4,0)</f>
        <v>70</v>
      </c>
      <c r="E29" s="28" t="s">
        <v>44</v>
      </c>
      <c r="F29" s="28" t="s">
        <v>46</v>
      </c>
      <c r="G29" s="28" t="s">
        <v>45</v>
      </c>
      <c r="H29" s="28" t="s">
        <v>46</v>
      </c>
      <c r="I29" s="28" t="s">
        <v>43</v>
      </c>
      <c r="J29" s="28" t="s">
        <v>43</v>
      </c>
      <c r="K29" s="28" t="s">
        <v>44</v>
      </c>
      <c r="L29" s="28" t="s">
        <v>45</v>
      </c>
      <c r="M29" s="28" t="s">
        <v>44</v>
      </c>
      <c r="N29" s="28" t="s">
        <v>43</v>
      </c>
      <c r="O29" s="28" t="s">
        <v>45</v>
      </c>
      <c r="P29" s="28" t="s">
        <v>44</v>
      </c>
      <c r="Q29" s="28" t="s">
        <v>44</v>
      </c>
      <c r="R29" s="28" t="s">
        <v>43</v>
      </c>
      <c r="S29" s="28" t="s">
        <v>46</v>
      </c>
      <c r="T29" s="28" t="s">
        <v>45</v>
      </c>
      <c r="U29" s="28" t="s">
        <v>44</v>
      </c>
      <c r="V29" s="28" t="s">
        <v>43</v>
      </c>
      <c r="W29" s="28" t="s">
        <v>46</v>
      </c>
      <c r="X29" s="28" t="s">
        <v>43</v>
      </c>
      <c r="Y29" s="28" t="s">
        <v>44</v>
      </c>
      <c r="Z29" s="28" t="s">
        <v>43</v>
      </c>
      <c r="AA29" s="28" t="s">
        <v>44</v>
      </c>
      <c r="AB29" s="28" t="s">
        <v>46</v>
      </c>
      <c r="AC29" s="28" t="s">
        <v>45</v>
      </c>
      <c r="AD29" s="28" t="s">
        <v>43</v>
      </c>
      <c r="AE29" s="28" t="s">
        <v>44</v>
      </c>
      <c r="AF29" s="28" t="s">
        <v>46</v>
      </c>
      <c r="AG29" s="28" t="s">
        <v>45</v>
      </c>
      <c r="AH29" s="28" t="s">
        <v>46</v>
      </c>
    </row>
    <row r="30" ht="24.0" customHeight="1">
      <c r="A30" s="40">
        <v>2.024900595E9</v>
      </c>
      <c r="B30" s="42" t="s">
        <v>128</v>
      </c>
      <c r="C30" s="15" t="str">
        <f>IFERROR(__xludf.DUMMYFUNCTION("IFERROR(XLOOKUP(A30, IMPORTRANGE(""1dfbuNQ3U1XqtdPB70d4KK-T2neyc0ZV0mzl9Q33XU-4"", ""web!A:A""), IMPORTRANGE(""1dfbuNQ3U1XqtdPB70d4KK-T2neyc0ZV0mzl9Q33XU-4"", ""web!B:B"")), """")"),"尤天豪")</f>
        <v>尤天豪</v>
      </c>
      <c r="D30" s="15">
        <f>IF(UPPER(E30)=UPPER(E5),E4,0)+IF(UPPER(F30)=UPPER(F5),F4,0)+IF(UPPER(G30)=UPPER(G5),G4,0)+IF(UPPER(H30)=UPPER(H5),H4,0)+IF(UPPER(I30)=UPPER(I5),I4,0)+IF(UPPER(J30)=UPPER(J5),J4,0)+IF(UPPER(K30)=UPPER(K5),K4,0)+IF(UPPER(L30)=UPPER(L5),L4,0)+IF(UPPER(M30)=UPPER(M5),M4,0)+IF(UPPER(N30)=UPPER(N5),N4,0)+IF(UPPER(O30)=UPPER(O5),O4,0)+IF(UPPER(P30)=UPPER(P5),P4,0)+IF(UPPER(Q30)=UPPER(Q5),Q4,0)+IF(UPPER(R30)=UPPER(R5),R4,0)+IF(UPPER(S30)=UPPER(S5),S4,0)+IF(UPPER(T30)=UPPER(T5),T4,0)+IF(UPPER(U30)=UPPER(U5),U4,0)+IF(UPPER(V30)=UPPER(V5),V4,0)+IF(UPPER(W30)=UPPER(W5),W4,0)+IF(UPPER(X30)=UPPER(X5),X4,0)+IF(UPPER(Y30)=UPPER(Y5),Y4,0)+IF(UPPER(Z30)=UPPER(Z5),Z4,0)+IF(UPPER(AA30)=UPPER(AA5),AA4,0)+IF(UPPER(AB30)=UPPER(AB5),AB4,0)+IF(UPPER(AC30)=UPPER(AC5),AC4,0)+IF(UPPER(AD30)=UPPER(AD5),AD4,0)+IF(UPPER(AE30)=UPPER(AE5),AE4,0)+IF(UPPER(AF30)=UPPER(AF5),AF4,0)+IF(UPPER(AG30)=UPPER(AG5),AG4,0)+IF(UPPER(AH30)=UPPER(AH5),AH4,0)</f>
        <v>80</v>
      </c>
      <c r="E30" s="40" t="s">
        <v>46</v>
      </c>
      <c r="F30" s="40" t="s">
        <v>46</v>
      </c>
      <c r="G30" s="40" t="s">
        <v>43</v>
      </c>
      <c r="H30" s="40" t="s">
        <v>46</v>
      </c>
      <c r="I30" s="40" t="s">
        <v>44</v>
      </c>
      <c r="J30" s="40" t="s">
        <v>43</v>
      </c>
      <c r="K30" s="40" t="s">
        <v>46</v>
      </c>
      <c r="L30" s="40" t="s">
        <v>46</v>
      </c>
      <c r="M30" s="40" t="s">
        <v>43</v>
      </c>
      <c r="N30" s="40" t="s">
        <v>43</v>
      </c>
      <c r="O30" s="40" t="s">
        <v>46</v>
      </c>
      <c r="P30" s="40" t="s">
        <v>44</v>
      </c>
      <c r="Q30" s="40" t="s">
        <v>45</v>
      </c>
      <c r="R30" s="40" t="s">
        <v>43</v>
      </c>
      <c r="S30" s="40" t="s">
        <v>46</v>
      </c>
      <c r="T30" s="40" t="s">
        <v>44</v>
      </c>
      <c r="U30" s="40" t="s">
        <v>45</v>
      </c>
      <c r="V30" s="40" t="s">
        <v>43</v>
      </c>
      <c r="W30" s="40" t="s">
        <v>46</v>
      </c>
      <c r="X30" s="40" t="s">
        <v>46</v>
      </c>
      <c r="Y30" s="40" t="s">
        <v>45</v>
      </c>
      <c r="Z30" s="40" t="s">
        <v>43</v>
      </c>
      <c r="AA30" s="40" t="s">
        <v>44</v>
      </c>
      <c r="AB30" s="40" t="s">
        <v>46</v>
      </c>
      <c r="AC30" s="40" t="s">
        <v>43</v>
      </c>
      <c r="AD30" s="40" t="s">
        <v>43</v>
      </c>
      <c r="AE30" s="40" t="s">
        <v>44</v>
      </c>
      <c r="AF30" s="40" t="s">
        <v>46</v>
      </c>
      <c r="AG30" s="40" t="s">
        <v>45</v>
      </c>
      <c r="AH30" s="40" t="s">
        <v>43</v>
      </c>
    </row>
    <row r="31" ht="24.0" customHeight="1">
      <c r="A31" s="40">
        <v>2.024900798E9</v>
      </c>
      <c r="B31" s="41" t="s">
        <v>129</v>
      </c>
      <c r="C31" s="17" t="str">
        <f>IFERROR(__xludf.DUMMYFUNCTION("IFERROR(XLOOKUP(A31, IMPORTRANGE(""1dfbuNQ3U1XqtdPB70d4KK-T2neyc0ZV0mzl9Q33XU-4"", ""web!A:A""), IMPORTRANGE(""1dfbuNQ3U1XqtdPB70d4KK-T2neyc0ZV0mzl9Q33XU-4"", ""web!B:B"")), """")"),"杨弘宇")</f>
        <v>杨弘宇</v>
      </c>
      <c r="D31" s="17">
        <f>IF(UPPER(E31)=UPPER(E5),E4,0)+IF(UPPER(F31)=UPPER(F5),F4,0)+IF(UPPER(G31)=UPPER(G5),G4,0)+IF(UPPER(H31)=UPPER(H5),H4,0)+IF(UPPER(I31)=UPPER(I5),I4,0)+IF(UPPER(J31)=UPPER(J5),J4,0)+IF(UPPER(K31)=UPPER(K5),K4,0)+IF(UPPER(L31)=UPPER(L5),L4,0)+IF(UPPER(M31)=UPPER(M5),M4,0)+IF(UPPER(N31)=UPPER(N5),N4,0)+IF(UPPER(O31)=UPPER(O5),O4,0)+IF(UPPER(P31)=UPPER(P5),P4,0)+IF(UPPER(Q31)=UPPER(Q5),Q4,0)+IF(UPPER(R31)=UPPER(R5),R4,0)+IF(UPPER(S31)=UPPER(S5),S4,0)+IF(UPPER(T31)=UPPER(T5),T4,0)+IF(UPPER(U31)=UPPER(U5),U4,0)+IF(UPPER(V31)=UPPER(V5),V4,0)+IF(UPPER(W31)=UPPER(W5),W4,0)+IF(UPPER(X31)=UPPER(X5),X4,0)+IF(UPPER(Y31)=UPPER(Y5),Y4,0)+IF(UPPER(Z31)=UPPER(Z5),Z4,0)+IF(UPPER(AA31)=UPPER(AA5),AA4,0)+IF(UPPER(AB31)=UPPER(AB5),AB4,0)+IF(UPPER(AC31)=UPPER(AC5),AC4,0)+IF(UPPER(AD31)=UPPER(AD5),AD4,0)+IF(UPPER(AE31)=UPPER(AE5),AE4,0)+IF(UPPER(AF31)=UPPER(AF5),AF4,0)+IF(UPPER(AG31)=UPPER(AG5),AG4,0)+IF(UPPER(AH31)=UPPER(AH5),AH4,0)</f>
        <v>67</v>
      </c>
      <c r="E31" s="28" t="s">
        <v>44</v>
      </c>
      <c r="F31" s="28" t="s">
        <v>46</v>
      </c>
      <c r="G31" s="28" t="s">
        <v>43</v>
      </c>
      <c r="H31" s="28" t="s">
        <v>46</v>
      </c>
      <c r="I31" s="28" t="s">
        <v>44</v>
      </c>
      <c r="J31" s="28" t="s">
        <v>46</v>
      </c>
      <c r="K31" s="28" t="s">
        <v>46</v>
      </c>
      <c r="L31" s="28" t="s">
        <v>45</v>
      </c>
      <c r="M31" s="28" t="s">
        <v>44</v>
      </c>
      <c r="N31" s="28" t="s">
        <v>46</v>
      </c>
      <c r="O31" s="28" t="s">
        <v>43</v>
      </c>
      <c r="P31" s="28" t="s">
        <v>44</v>
      </c>
      <c r="Q31" s="28" t="s">
        <v>45</v>
      </c>
      <c r="R31" s="28" t="s">
        <v>43</v>
      </c>
      <c r="S31" s="28" t="s">
        <v>46</v>
      </c>
      <c r="T31" s="28" t="s">
        <v>46</v>
      </c>
      <c r="U31" s="28" t="s">
        <v>46</v>
      </c>
      <c r="V31" s="28" t="s">
        <v>43</v>
      </c>
      <c r="W31" s="28" t="s">
        <v>46</v>
      </c>
      <c r="X31" s="28" t="s">
        <v>44</v>
      </c>
      <c r="Y31" s="28" t="s">
        <v>46</v>
      </c>
      <c r="Z31" s="28" t="s">
        <v>46</v>
      </c>
      <c r="AA31" s="28" t="s">
        <v>44</v>
      </c>
      <c r="AB31" s="28" t="s">
        <v>46</v>
      </c>
      <c r="AC31" s="28" t="s">
        <v>43</v>
      </c>
      <c r="AD31" s="28" t="s">
        <v>43</v>
      </c>
      <c r="AE31" s="28" t="s">
        <v>44</v>
      </c>
      <c r="AF31" s="28" t="s">
        <v>46</v>
      </c>
      <c r="AG31" s="28" t="s">
        <v>46</v>
      </c>
      <c r="AH31" s="28" t="s">
        <v>43</v>
      </c>
    </row>
    <row r="32" ht="24.0" customHeight="1">
      <c r="A32" s="40">
        <v>2.024904718E9</v>
      </c>
      <c r="B32" s="14" t="s">
        <v>130</v>
      </c>
      <c r="C32" s="15" t="str">
        <f>IFERROR(__xludf.DUMMYFUNCTION("IFERROR(XLOOKUP(A32, IMPORTRANGE(""1dfbuNQ3U1XqtdPB70d4KK-T2neyc0ZV0mzl9Q33XU-4"", ""web!A:A""), IMPORTRANGE(""1dfbuNQ3U1XqtdPB70d4KK-T2neyc0ZV0mzl9Q33XU-4"", ""web!B:B"")), """")"),"余运泽")</f>
        <v>余运泽</v>
      </c>
      <c r="D32" s="15">
        <f>IF(UPPER(E32)=UPPER(E5),E4,0)+IF(UPPER(F32)=UPPER(F5),F4,0)+IF(UPPER(G32)=UPPER(G5),G4,0)+IF(UPPER(H32)=UPPER(H5),H4,0)+IF(UPPER(I32)=UPPER(I5),I4,0)+IF(UPPER(J32)=UPPER(J5),J4,0)+IF(UPPER(K32)=UPPER(K5),K4,0)+IF(UPPER(L32)=UPPER(L5),L4,0)+IF(UPPER(M32)=UPPER(M5),M4,0)+IF(UPPER(N32)=UPPER(N5),N4,0)+IF(UPPER(O32)=UPPER(O5),O4,0)+IF(UPPER(P32)=UPPER(P5),P4,0)+IF(UPPER(Q32)=UPPER(Q5),Q4,0)+IF(UPPER(R32)=UPPER(R5),R4,0)+IF(UPPER(S32)=UPPER(S5),S4,0)+IF(UPPER(T32)=UPPER(T5),T4,0)+IF(UPPER(U32)=UPPER(U5),U4,0)+IF(UPPER(V32)=UPPER(V5),V4,0)+IF(UPPER(W32)=UPPER(W5),W4,0)+IF(UPPER(X32)=UPPER(X5),X4,0)+IF(UPPER(Y32)=UPPER(Y5),Y4,0)+IF(UPPER(Z32)=UPPER(Z5),Z4,0)+IF(UPPER(AA32)=UPPER(AA5),AA4,0)+IF(UPPER(AB32)=UPPER(AB5),AB4,0)+IF(UPPER(AC32)=UPPER(AC5),AC4,0)+IF(UPPER(AD32)=UPPER(AD5),AD4,0)+IF(UPPER(AE32)=UPPER(AE5),AE4,0)+IF(UPPER(AF32)=UPPER(AF5),AF4,0)+IF(UPPER(AG32)=UPPER(AG5),AG4,0)+IF(UPPER(AH32)=UPPER(AH5),AH4,0)</f>
        <v>83</v>
      </c>
      <c r="E32" s="40" t="s">
        <v>44</v>
      </c>
      <c r="F32" s="40" t="s">
        <v>46</v>
      </c>
      <c r="G32" s="40" t="s">
        <v>43</v>
      </c>
      <c r="H32" s="40" t="s">
        <v>46</v>
      </c>
      <c r="I32" s="40" t="s">
        <v>44</v>
      </c>
      <c r="J32" s="40" t="s">
        <v>43</v>
      </c>
      <c r="K32" s="40" t="s">
        <v>46</v>
      </c>
      <c r="L32" s="40" t="s">
        <v>45</v>
      </c>
      <c r="M32" s="40" t="s">
        <v>44</v>
      </c>
      <c r="N32" s="40" t="s">
        <v>43</v>
      </c>
      <c r="O32" s="40" t="s">
        <v>46</v>
      </c>
      <c r="P32" s="40" t="s">
        <v>46</v>
      </c>
      <c r="Q32" s="40" t="s">
        <v>44</v>
      </c>
      <c r="R32" s="40" t="s">
        <v>43</v>
      </c>
      <c r="S32" s="40" t="s">
        <v>46</v>
      </c>
      <c r="T32" s="40" t="s">
        <v>44</v>
      </c>
      <c r="U32" s="40" t="s">
        <v>45</v>
      </c>
      <c r="V32" s="40" t="s">
        <v>43</v>
      </c>
      <c r="W32" s="40" t="s">
        <v>46</v>
      </c>
      <c r="X32" s="40" t="s">
        <v>44</v>
      </c>
      <c r="Y32" s="40" t="s">
        <v>45</v>
      </c>
      <c r="Z32" s="40" t="s">
        <v>43</v>
      </c>
      <c r="AA32" s="40" t="s">
        <v>43</v>
      </c>
      <c r="AB32" s="40" t="s">
        <v>46</v>
      </c>
      <c r="AC32" s="40" t="s">
        <v>45</v>
      </c>
      <c r="AD32" s="40" t="s">
        <v>43</v>
      </c>
      <c r="AE32" s="40" t="s">
        <v>44</v>
      </c>
      <c r="AF32" s="40" t="s">
        <v>46</v>
      </c>
      <c r="AG32" s="40" t="s">
        <v>46</v>
      </c>
      <c r="AH32" s="40" t="s">
        <v>43</v>
      </c>
    </row>
    <row r="33" ht="24.0" customHeight="1">
      <c r="A33" s="40">
        <v>2.024900802E9</v>
      </c>
      <c r="B33" s="16" t="s">
        <v>131</v>
      </c>
      <c r="C33" s="17" t="str">
        <f>IFERROR(__xludf.DUMMYFUNCTION("IFERROR(XLOOKUP(A33, IMPORTRANGE(""1dfbuNQ3U1XqtdPB70d4KK-T2neyc0ZV0mzl9Q33XU-4"", ""web!A:A""), IMPORTRANGE(""1dfbuNQ3U1XqtdPB70d4KK-T2neyc0ZV0mzl9Q33XU-4"", ""web!B:B"")), """")"),"孟昭泰")</f>
        <v>孟昭泰</v>
      </c>
      <c r="D33" s="17">
        <f>IF(UPPER(E33)=UPPER(E5),E4,0)+IF(UPPER(F33)=UPPER(F5),F4,0)+IF(UPPER(G33)=UPPER(G5),G4,0)+IF(UPPER(H33)=UPPER(H5),H4,0)+IF(UPPER(I33)=UPPER(I5),I4,0)+IF(UPPER(J33)=UPPER(J5),J4,0)+IF(UPPER(K33)=UPPER(K5),K4,0)+IF(UPPER(L33)=UPPER(L5),L4,0)+IF(UPPER(M33)=UPPER(M5),M4,0)+IF(UPPER(N33)=UPPER(N5),N4,0)+IF(UPPER(O33)=UPPER(O5),O4,0)+IF(UPPER(P33)=UPPER(P5),P4,0)+IF(UPPER(Q33)=UPPER(Q5),Q4,0)+IF(UPPER(R33)=UPPER(R5),R4,0)+IF(UPPER(S33)=UPPER(S5),S4,0)+IF(UPPER(T33)=UPPER(T5),T4,0)+IF(UPPER(U33)=UPPER(U5),U4,0)+IF(UPPER(V33)=UPPER(V5),V4,0)+IF(UPPER(W33)=UPPER(W5),W4,0)+IF(UPPER(X33)=UPPER(X5),X4,0)+IF(UPPER(Y33)=UPPER(Y5),Y4,0)+IF(UPPER(Z33)=UPPER(Z5),Z4,0)+IF(UPPER(AA33)=UPPER(AA5),AA4,0)+IF(UPPER(AB33)=UPPER(AB5),AB4,0)+IF(UPPER(AC33)=UPPER(AC5),AC4,0)+IF(UPPER(AD33)=UPPER(AD5),AD4,0)+IF(UPPER(AE33)=UPPER(AE5),AE4,0)+IF(UPPER(AF33)=UPPER(AF5),AF4,0)+IF(UPPER(AG33)=UPPER(AG5),AG4,0)+IF(UPPER(AH33)=UPPER(AH5),AH4,0)</f>
        <v>49</v>
      </c>
      <c r="E33" s="28" t="s">
        <v>44</v>
      </c>
      <c r="F33" s="28" t="s">
        <v>46</v>
      </c>
      <c r="G33" s="28" t="s">
        <v>46</v>
      </c>
      <c r="H33" s="28" t="s">
        <v>43</v>
      </c>
      <c r="I33" s="28" t="s">
        <v>44</v>
      </c>
      <c r="J33" s="28" t="s">
        <v>44</v>
      </c>
      <c r="K33" s="28" t="s">
        <v>46</v>
      </c>
      <c r="L33" s="28" t="s">
        <v>43</v>
      </c>
      <c r="M33" s="28" t="s">
        <v>45</v>
      </c>
      <c r="N33" s="28" t="s">
        <v>46</v>
      </c>
      <c r="O33" s="28" t="s">
        <v>46</v>
      </c>
      <c r="P33" s="28" t="s">
        <v>44</v>
      </c>
      <c r="Q33" s="28" t="s">
        <v>45</v>
      </c>
      <c r="R33" s="28" t="s">
        <v>46</v>
      </c>
      <c r="S33" s="28" t="s">
        <v>43</v>
      </c>
      <c r="T33" s="28" t="s">
        <v>45</v>
      </c>
      <c r="U33" s="28" t="s">
        <v>44</v>
      </c>
      <c r="V33" s="28" t="s">
        <v>43</v>
      </c>
      <c r="W33" s="28" t="s">
        <v>43</v>
      </c>
      <c r="X33" s="28" t="s">
        <v>46</v>
      </c>
      <c r="Y33" s="28" t="s">
        <v>43</v>
      </c>
      <c r="Z33" s="28" t="s">
        <v>43</v>
      </c>
      <c r="AA33" s="28" t="s">
        <v>44</v>
      </c>
      <c r="AB33" s="28" t="s">
        <v>46</v>
      </c>
      <c r="AC33" s="28" t="s">
        <v>46</v>
      </c>
      <c r="AD33" s="28" t="s">
        <v>43</v>
      </c>
      <c r="AE33" s="28" t="s">
        <v>45</v>
      </c>
      <c r="AF33" s="28" t="s">
        <v>46</v>
      </c>
      <c r="AG33" s="28" t="s">
        <v>44</v>
      </c>
      <c r="AH33" s="28" t="s">
        <v>43</v>
      </c>
    </row>
    <row r="34" ht="24.0" customHeight="1">
      <c r="A34" s="40">
        <v>2.024903532E9</v>
      </c>
      <c r="B34" s="42" t="s">
        <v>132</v>
      </c>
      <c r="C34" s="15" t="str">
        <f>IFERROR(__xludf.DUMMYFUNCTION("IFERROR(XLOOKUP(A34, IMPORTRANGE(""1dfbuNQ3U1XqtdPB70d4KK-T2neyc0ZV0mzl9Q33XU-4"", ""web!A:A""), IMPORTRANGE(""1dfbuNQ3U1XqtdPB70d4KK-T2neyc0ZV0mzl9Q33XU-4"", ""web!B:B"")), """")"),"古洺扬")</f>
        <v>古洺扬</v>
      </c>
      <c r="D34" s="15">
        <f>IF(UPPER(E34)=UPPER(E5),E4,0)+IF(UPPER(F34)=UPPER(F5),F4,0)+IF(UPPER(G34)=UPPER(G5),G4,0)+IF(UPPER(H34)=UPPER(H5),H4,0)+IF(UPPER(I34)=UPPER(I5),I4,0)+IF(UPPER(J34)=UPPER(J5),J4,0)+IF(UPPER(K34)=UPPER(K5),K4,0)+IF(UPPER(L34)=UPPER(L5),L4,0)+IF(UPPER(M34)=UPPER(M5),M4,0)+IF(UPPER(N34)=UPPER(N5),N4,0)+IF(UPPER(O34)=UPPER(O5),O4,0)+IF(UPPER(P34)=UPPER(P5),P4,0)+IF(UPPER(Q34)=UPPER(Q5),Q4,0)+IF(UPPER(R34)=UPPER(R5),R4,0)+IF(UPPER(S34)=UPPER(S5),S4,0)+IF(UPPER(T34)=UPPER(T5),T4,0)+IF(UPPER(U34)=UPPER(U5),U4,0)+IF(UPPER(V34)=UPPER(V5),V4,0)+IF(UPPER(W34)=UPPER(W5),W4,0)+IF(UPPER(X34)=UPPER(X5),X4,0)+IF(UPPER(Y34)=UPPER(Y5),Y4,0)+IF(UPPER(Z34)=UPPER(Z5),Z4,0)+IF(UPPER(AA34)=UPPER(AA5),AA4,0)+IF(UPPER(AB34)=UPPER(AB5),AB4,0)+IF(UPPER(AC34)=UPPER(AC5),AC4,0)+IF(UPPER(AD34)=UPPER(AD5),AD4,0)+IF(UPPER(AE34)=UPPER(AE5),AE4,0)+IF(UPPER(AF34)=UPPER(AF5),AF4,0)+IF(UPPER(AG34)=UPPER(AG5),AG4,0)+IF(UPPER(AH34)=UPPER(AH5),AH4,0)</f>
        <v>45</v>
      </c>
      <c r="E34" s="40" t="s">
        <v>44</v>
      </c>
      <c r="F34" s="40" t="s">
        <v>46</v>
      </c>
      <c r="G34" s="40" t="s">
        <v>43</v>
      </c>
      <c r="H34" s="40" t="s">
        <v>46</v>
      </c>
      <c r="I34" s="40" t="s">
        <v>44</v>
      </c>
      <c r="J34" s="40" t="s">
        <v>46</v>
      </c>
      <c r="K34" s="40" t="s">
        <v>46</v>
      </c>
      <c r="L34" s="40" t="s">
        <v>46</v>
      </c>
      <c r="M34" s="40" t="s">
        <v>44</v>
      </c>
      <c r="N34" s="40" t="s">
        <v>46</v>
      </c>
      <c r="O34" s="40" t="s">
        <v>46</v>
      </c>
      <c r="P34" s="40" t="s">
        <v>43</v>
      </c>
      <c r="Q34" s="40" t="s">
        <v>45</v>
      </c>
      <c r="R34" s="40" t="s">
        <v>46</v>
      </c>
      <c r="S34" s="40" t="s">
        <v>45</v>
      </c>
      <c r="T34" s="40" t="s">
        <v>46</v>
      </c>
      <c r="U34" s="40" t="s">
        <v>44</v>
      </c>
      <c r="V34" s="40" t="s">
        <v>43</v>
      </c>
      <c r="W34" s="40" t="s">
        <v>44</v>
      </c>
      <c r="X34" s="40" t="s">
        <v>45</v>
      </c>
      <c r="Y34" s="40" t="s">
        <v>44</v>
      </c>
      <c r="Z34" s="40" t="s">
        <v>46</v>
      </c>
      <c r="AA34" s="40" t="s">
        <v>44</v>
      </c>
      <c r="AB34" s="40" t="s">
        <v>46</v>
      </c>
      <c r="AC34" s="40" t="s">
        <v>43</v>
      </c>
      <c r="AD34" s="40" t="s">
        <v>44</v>
      </c>
      <c r="AE34" s="40" t="s">
        <v>44</v>
      </c>
      <c r="AF34" s="40" t="s">
        <v>46</v>
      </c>
      <c r="AG34" s="40" t="s">
        <v>45</v>
      </c>
      <c r="AH34" s="40" t="s">
        <v>46</v>
      </c>
    </row>
    <row r="35" ht="24.0" customHeight="1">
      <c r="A35" s="40">
        <v>2.024902258E9</v>
      </c>
      <c r="B35" s="41" t="s">
        <v>133</v>
      </c>
      <c r="C35" s="17" t="str">
        <f>IFERROR(__xludf.DUMMYFUNCTION("IFERROR(XLOOKUP(A35, IMPORTRANGE(""1dfbuNQ3U1XqtdPB70d4KK-T2neyc0ZV0mzl9Q33XU-4"", ""web!A:A""), IMPORTRANGE(""1dfbuNQ3U1XqtdPB70d4KK-T2neyc0ZV0mzl9Q33XU-4"", ""web!B:B"")), """")"),"邢乐瑶")</f>
        <v>邢乐瑶</v>
      </c>
      <c r="D35" s="17">
        <f>IF(UPPER(E35)=UPPER(E5),E4,0)+IF(UPPER(F35)=UPPER(F5),F4,0)+IF(UPPER(G35)=UPPER(G5),G4,0)+IF(UPPER(H35)=UPPER(H5),H4,0)+IF(UPPER(I35)=UPPER(I5),I4,0)+IF(UPPER(J35)=UPPER(J5),J4,0)+IF(UPPER(K35)=UPPER(K5),K4,0)+IF(UPPER(L35)=UPPER(L5),L4,0)+IF(UPPER(M35)=UPPER(M5),M4,0)+IF(UPPER(N35)=UPPER(N5),N4,0)+IF(UPPER(O35)=UPPER(O5),O4,0)+IF(UPPER(P35)=UPPER(P5),P4,0)+IF(UPPER(Q35)=UPPER(Q5),Q4,0)+IF(UPPER(R35)=UPPER(R5),R4,0)+IF(UPPER(S35)=UPPER(S5),S4,0)+IF(UPPER(T35)=UPPER(T5),T4,0)+IF(UPPER(U35)=UPPER(U5),U4,0)+IF(UPPER(V35)=UPPER(V5),V4,0)+IF(UPPER(W35)=UPPER(W5),W4,0)+IF(UPPER(X35)=UPPER(X5),X4,0)+IF(UPPER(Y35)=UPPER(Y5),Y4,0)+IF(UPPER(Z35)=UPPER(Z5),Z4,0)+IF(UPPER(AA35)=UPPER(AA5),AA4,0)+IF(UPPER(AB35)=UPPER(AB5),AB4,0)+IF(UPPER(AC35)=UPPER(AC5),AC4,0)+IF(UPPER(AD35)=UPPER(AD5),AD4,0)+IF(UPPER(AE35)=UPPER(AE5),AE4,0)+IF(UPPER(AF35)=UPPER(AF5),AF4,0)+IF(UPPER(AG35)=UPPER(AG5),AG4,0)+IF(UPPER(AH35)=UPPER(AH5),AH4,0)</f>
        <v>55</v>
      </c>
      <c r="E35" s="28" t="s">
        <v>44</v>
      </c>
      <c r="F35" s="28" t="s">
        <v>46</v>
      </c>
      <c r="G35" s="28" t="s">
        <v>46</v>
      </c>
      <c r="H35" s="28" t="s">
        <v>46</v>
      </c>
      <c r="I35" s="28" t="s">
        <v>44</v>
      </c>
      <c r="J35" s="28" t="s">
        <v>46</v>
      </c>
      <c r="K35" s="28" t="s">
        <v>46</v>
      </c>
      <c r="L35" s="28" t="s">
        <v>45</v>
      </c>
      <c r="M35" s="28" t="s">
        <v>44</v>
      </c>
      <c r="N35" s="28" t="s">
        <v>46</v>
      </c>
      <c r="O35" s="28" t="s">
        <v>46</v>
      </c>
      <c r="P35" s="28" t="s">
        <v>44</v>
      </c>
      <c r="Q35" s="28" t="s">
        <v>43</v>
      </c>
      <c r="R35" s="28" t="s">
        <v>43</v>
      </c>
      <c r="S35" s="28" t="s">
        <v>46</v>
      </c>
      <c r="T35" s="28" t="s">
        <v>44</v>
      </c>
      <c r="U35" s="28" t="s">
        <v>45</v>
      </c>
      <c r="V35" s="28" t="s">
        <v>44</v>
      </c>
      <c r="W35" s="28" t="s">
        <v>44</v>
      </c>
      <c r="X35" s="28" t="s">
        <v>45</v>
      </c>
      <c r="Y35" s="28" t="s">
        <v>44</v>
      </c>
      <c r="Z35" s="28" t="s">
        <v>43</v>
      </c>
      <c r="AA35" s="28" t="s">
        <v>43</v>
      </c>
      <c r="AB35" s="28" t="s">
        <v>46</v>
      </c>
      <c r="AC35" s="28" t="s">
        <v>44</v>
      </c>
      <c r="AD35" s="28" t="s">
        <v>46</v>
      </c>
      <c r="AE35" s="28" t="s">
        <v>44</v>
      </c>
      <c r="AF35" s="28" t="s">
        <v>44</v>
      </c>
      <c r="AG35" s="28" t="s">
        <v>45</v>
      </c>
      <c r="AH35" s="28" t="s">
        <v>44</v>
      </c>
    </row>
    <row r="36" ht="24.0" customHeight="1">
      <c r="A36" s="40">
        <v>2.024900804E9</v>
      </c>
      <c r="B36" s="42" t="s">
        <v>134</v>
      </c>
      <c r="C36" s="15" t="str">
        <f>IFERROR(__xludf.DUMMYFUNCTION("IFERROR(XLOOKUP(A36, IMPORTRANGE(""1dfbuNQ3U1XqtdPB70d4KK-T2neyc0ZV0mzl9Q33XU-4"", ""web!A:A""), IMPORTRANGE(""1dfbuNQ3U1XqtdPB70d4KK-T2neyc0ZV0mzl9Q33XU-4"", ""web!B:B"")), """")"),"周一诺")</f>
        <v>周一诺</v>
      </c>
      <c r="D36" s="15">
        <f>IF(UPPER(E36)=UPPER(E5),E4,0)+IF(UPPER(F36)=UPPER(F5),F4,0)+IF(UPPER(G36)=UPPER(G5),G4,0)+IF(UPPER(H36)=UPPER(H5),H4,0)+IF(UPPER(I36)=UPPER(I5),I4,0)+IF(UPPER(J36)=UPPER(J5),J4,0)+IF(UPPER(K36)=UPPER(K5),K4,0)+IF(UPPER(L36)=UPPER(L5),L4,0)+IF(UPPER(M36)=UPPER(M5),M4,0)+IF(UPPER(N36)=UPPER(N5),N4,0)+IF(UPPER(O36)=UPPER(O5),O4,0)+IF(UPPER(P36)=UPPER(P5),P4,0)+IF(UPPER(Q36)=UPPER(Q5),Q4,0)+IF(UPPER(R36)=UPPER(R5),R4,0)+IF(UPPER(S36)=UPPER(S5),S4,0)+IF(UPPER(T36)=UPPER(T5),T4,0)+IF(UPPER(U36)=UPPER(U5),U4,0)+IF(UPPER(V36)=UPPER(V5),V4,0)+IF(UPPER(W36)=UPPER(W5),W4,0)+IF(UPPER(X36)=UPPER(X5),X4,0)+IF(UPPER(Y36)=UPPER(Y5),Y4,0)+IF(UPPER(Z36)=UPPER(Z5),Z4,0)+IF(UPPER(AA36)=UPPER(AA5),AA4,0)+IF(UPPER(AB36)=UPPER(AB5),AB4,0)+IF(UPPER(AC36)=UPPER(AC5),AC4,0)+IF(UPPER(AD36)=UPPER(AD5),AD4,0)+IF(UPPER(AE36)=UPPER(AE5),AE4,0)+IF(UPPER(AF36)=UPPER(AF5),AF4,0)+IF(UPPER(AG36)=UPPER(AG5),AG4,0)+IF(UPPER(AH36)=UPPER(AH5),AH4,0)</f>
        <v>49</v>
      </c>
      <c r="E36" s="40" t="s">
        <v>44</v>
      </c>
      <c r="F36" s="40" t="s">
        <v>46</v>
      </c>
      <c r="G36" s="40" t="s">
        <v>46</v>
      </c>
      <c r="H36" s="40" t="s">
        <v>45</v>
      </c>
      <c r="I36" s="40" t="s">
        <v>43</v>
      </c>
      <c r="J36" s="40" t="s">
        <v>46</v>
      </c>
      <c r="K36" s="40" t="s">
        <v>46</v>
      </c>
      <c r="L36" s="40" t="s">
        <v>45</v>
      </c>
      <c r="M36" s="40" t="s">
        <v>44</v>
      </c>
      <c r="N36" s="40" t="s">
        <v>43</v>
      </c>
      <c r="O36" s="40" t="s">
        <v>46</v>
      </c>
      <c r="P36" s="40" t="s">
        <v>45</v>
      </c>
      <c r="Q36" s="40" t="s">
        <v>45</v>
      </c>
      <c r="R36" s="40" t="s">
        <v>43</v>
      </c>
      <c r="S36" s="40" t="s">
        <v>46</v>
      </c>
      <c r="T36" s="40" t="s">
        <v>46</v>
      </c>
      <c r="U36" s="40" t="s">
        <v>43</v>
      </c>
      <c r="V36" s="40" t="s">
        <v>44</v>
      </c>
      <c r="W36" s="40" t="s">
        <v>46</v>
      </c>
      <c r="X36" s="40" t="s">
        <v>45</v>
      </c>
      <c r="Y36" s="40" t="s">
        <v>44</v>
      </c>
      <c r="Z36" s="40" t="s">
        <v>45</v>
      </c>
      <c r="AA36" s="40" t="s">
        <v>44</v>
      </c>
      <c r="AB36" s="40" t="s">
        <v>44</v>
      </c>
      <c r="AC36" s="40" t="s">
        <v>45</v>
      </c>
      <c r="AD36" s="40" t="s">
        <v>45</v>
      </c>
      <c r="AE36" s="40" t="s">
        <v>44</v>
      </c>
      <c r="AF36" s="40" t="s">
        <v>44</v>
      </c>
      <c r="AG36" s="40" t="s">
        <v>45</v>
      </c>
      <c r="AH36" s="40" t="s">
        <v>46</v>
      </c>
    </row>
    <row r="37" ht="24.0" customHeight="1">
      <c r="A37" s="40">
        <v>2.024903386E9</v>
      </c>
      <c r="B37" s="41" t="s">
        <v>135</v>
      </c>
      <c r="C37" s="17" t="str">
        <f>IFERROR(__xludf.DUMMYFUNCTION("IFERROR(XLOOKUP(A37, IMPORTRANGE(""1dfbuNQ3U1XqtdPB70d4KK-T2neyc0ZV0mzl9Q33XU-4"", ""web!A:A""), IMPORTRANGE(""1dfbuNQ3U1XqtdPB70d4KK-T2neyc0ZV0mzl9Q33XU-4"", ""web!B:B"")), """")"),"梁亦菲")</f>
        <v>梁亦菲</v>
      </c>
      <c r="D37" s="17">
        <f>IF(UPPER(E37)=UPPER(E5),E4,0)+IF(UPPER(F37)=UPPER(F5),F4,0)+IF(UPPER(G37)=UPPER(G5),G4,0)+IF(UPPER(H37)=UPPER(H5),H4,0)+IF(UPPER(I37)=UPPER(I5),I4,0)+IF(UPPER(J37)=UPPER(J5),J4,0)+IF(UPPER(K37)=UPPER(K5),K4,0)+IF(UPPER(L37)=UPPER(L5),L4,0)+IF(UPPER(M37)=UPPER(M5),M4,0)+IF(UPPER(N37)=UPPER(N5),N4,0)+IF(UPPER(O37)=UPPER(O5),O4,0)+IF(UPPER(P37)=UPPER(P5),P4,0)+IF(UPPER(Q37)=UPPER(Q5),Q4,0)+IF(UPPER(R37)=UPPER(R5),R4,0)+IF(UPPER(S37)=UPPER(S5),S4,0)+IF(UPPER(T37)=UPPER(T5),T4,0)+IF(UPPER(U37)=UPPER(U5),U4,0)+IF(UPPER(V37)=UPPER(V5),V4,0)+IF(UPPER(W37)=UPPER(W5),W4,0)+IF(UPPER(X37)=UPPER(X5),X4,0)+IF(UPPER(Y37)=UPPER(Y5),Y4,0)+IF(UPPER(Z37)=UPPER(Z5),Z4,0)+IF(UPPER(AA37)=UPPER(AA5),AA4,0)+IF(UPPER(AB37)=UPPER(AB5),AB4,0)+IF(UPPER(AC37)=UPPER(AC5),AC4,0)+IF(UPPER(AD37)=UPPER(AD5),AD4,0)+IF(UPPER(AE37)=UPPER(AE5),AE4,0)+IF(UPPER(AF37)=UPPER(AF5),AF4,0)+IF(UPPER(AG37)=UPPER(AG5),AG4,0)+IF(UPPER(AH37)=UPPER(AH5),AH4,0)</f>
        <v>51</v>
      </c>
      <c r="E37" s="28" t="s">
        <v>44</v>
      </c>
      <c r="F37" s="28" t="s">
        <v>46</v>
      </c>
      <c r="G37" s="28" t="s">
        <v>43</v>
      </c>
      <c r="H37" s="28" t="s">
        <v>45</v>
      </c>
      <c r="I37" s="28" t="s">
        <v>43</v>
      </c>
      <c r="J37" s="28" t="s">
        <v>46</v>
      </c>
      <c r="K37" s="28" t="s">
        <v>46</v>
      </c>
      <c r="L37" s="28" t="s">
        <v>45</v>
      </c>
      <c r="M37" s="28" t="s">
        <v>43</v>
      </c>
      <c r="N37" s="28" t="s">
        <v>46</v>
      </c>
      <c r="O37" s="28" t="s">
        <v>46</v>
      </c>
      <c r="P37" s="28" t="s">
        <v>45</v>
      </c>
      <c r="Q37" s="28" t="s">
        <v>45</v>
      </c>
      <c r="R37" s="28" t="s">
        <v>43</v>
      </c>
      <c r="S37" s="28" t="s">
        <v>46</v>
      </c>
      <c r="T37" s="28" t="s">
        <v>45</v>
      </c>
      <c r="U37" s="28" t="s">
        <v>43</v>
      </c>
      <c r="V37" s="28" t="s">
        <v>44</v>
      </c>
      <c r="W37" s="28" t="s">
        <v>44</v>
      </c>
      <c r="X37" s="28" t="s">
        <v>46</v>
      </c>
      <c r="Y37" s="28" t="s">
        <v>45</v>
      </c>
      <c r="Z37" s="28" t="s">
        <v>46</v>
      </c>
      <c r="AA37" s="28" t="s">
        <v>44</v>
      </c>
      <c r="AB37" s="28" t="s">
        <v>44</v>
      </c>
      <c r="AC37" s="28" t="s">
        <v>45</v>
      </c>
      <c r="AD37" s="28" t="s">
        <v>43</v>
      </c>
      <c r="AE37" s="28" t="s">
        <v>44</v>
      </c>
      <c r="AF37" s="28" t="s">
        <v>46</v>
      </c>
      <c r="AG37" s="28" t="s">
        <v>45</v>
      </c>
      <c r="AH37" s="28" t="s">
        <v>44</v>
      </c>
    </row>
    <row r="38" ht="24.0" customHeight="1">
      <c r="A38" s="40">
        <v>2.024900593E9</v>
      </c>
      <c r="B38" s="42" t="s">
        <v>136</v>
      </c>
      <c r="C38" s="15" t="str">
        <f>IFERROR(__xludf.DUMMYFUNCTION("IFERROR(XLOOKUP(A38, IMPORTRANGE(""1dfbuNQ3U1XqtdPB70d4KK-T2neyc0ZV0mzl9Q33XU-4"", ""web!A:A""), IMPORTRANGE(""1dfbuNQ3U1XqtdPB70d4KK-T2neyc0ZV0mzl9Q33XU-4"", ""web!B:B"")), """")"),"李静雯")</f>
        <v>李静雯</v>
      </c>
      <c r="D38" s="15">
        <f>IF(UPPER(E38)=UPPER(E5),E4,0)+IF(UPPER(F38)=UPPER(F5),F4,0)+IF(UPPER(G38)=UPPER(G5),G4,0)+IF(UPPER(H38)=UPPER(H5),H4,0)+IF(UPPER(I38)=UPPER(I5),I4,0)+IF(UPPER(J38)=UPPER(J5),J4,0)+IF(UPPER(K38)=UPPER(K5),K4,0)+IF(UPPER(L38)=UPPER(L5),L4,0)+IF(UPPER(M38)=UPPER(M5),M4,0)+IF(UPPER(N38)=UPPER(N5),N4,0)+IF(UPPER(O38)=UPPER(O5),O4,0)+IF(UPPER(P38)=UPPER(P5),P4,0)+IF(UPPER(Q38)=UPPER(Q5),Q4,0)+IF(UPPER(R38)=UPPER(R5),R4,0)+IF(UPPER(S38)=UPPER(S5),S4,0)+IF(UPPER(T38)=UPPER(T5),T4,0)+IF(UPPER(U38)=UPPER(U5),U4,0)+IF(UPPER(V38)=UPPER(V5),V4,0)+IF(UPPER(W38)=UPPER(W5),W4,0)+IF(UPPER(X38)=UPPER(X5),X4,0)+IF(UPPER(Y38)=UPPER(Y5),Y4,0)+IF(UPPER(Z38)=UPPER(Z5),Z4,0)+IF(UPPER(AA38)=UPPER(AA5),AA4,0)+IF(UPPER(AB38)=UPPER(AB5),AB4,0)+IF(UPPER(AC38)=UPPER(AC5),AC4,0)+IF(UPPER(AD38)=UPPER(AD5),AD4,0)+IF(UPPER(AE38)=UPPER(AE5),AE4,0)+IF(UPPER(AF38)=UPPER(AF5),AF4,0)+IF(UPPER(AG38)=UPPER(AG5),AG4,0)+IF(UPPER(AH38)=UPPER(AH5),AH4,0)</f>
        <v>68</v>
      </c>
      <c r="E38" s="40" t="s">
        <v>44</v>
      </c>
      <c r="F38" s="40" t="s">
        <v>46</v>
      </c>
      <c r="G38" s="40" t="s">
        <v>43</v>
      </c>
      <c r="H38" s="40" t="s">
        <v>46</v>
      </c>
      <c r="I38" s="40" t="s">
        <v>44</v>
      </c>
      <c r="J38" s="40" t="s">
        <v>46</v>
      </c>
      <c r="K38" s="40" t="s">
        <v>46</v>
      </c>
      <c r="L38" s="40" t="s">
        <v>45</v>
      </c>
      <c r="M38" s="40" t="s">
        <v>44</v>
      </c>
      <c r="N38" s="40" t="s">
        <v>43</v>
      </c>
      <c r="O38" s="40" t="s">
        <v>44</v>
      </c>
      <c r="P38" s="40" t="s">
        <v>44</v>
      </c>
      <c r="Q38" s="40" t="s">
        <v>45</v>
      </c>
      <c r="R38" s="40" t="s">
        <v>43</v>
      </c>
      <c r="S38" s="40" t="s">
        <v>43</v>
      </c>
      <c r="T38" s="40" t="s">
        <v>44</v>
      </c>
      <c r="U38" s="40" t="s">
        <v>43</v>
      </c>
      <c r="V38" s="40" t="s">
        <v>43</v>
      </c>
      <c r="W38" s="40" t="s">
        <v>46</v>
      </c>
      <c r="X38" s="40" t="s">
        <v>44</v>
      </c>
      <c r="Y38" s="40" t="s">
        <v>45</v>
      </c>
      <c r="Z38" s="40" t="s">
        <v>43</v>
      </c>
      <c r="AA38" s="40" t="s">
        <v>43</v>
      </c>
      <c r="AB38" s="40" t="s">
        <v>46</v>
      </c>
      <c r="AC38" s="40" t="s">
        <v>44</v>
      </c>
      <c r="AD38" s="40" t="s">
        <v>44</v>
      </c>
      <c r="AE38" s="40" t="s">
        <v>44</v>
      </c>
      <c r="AF38" s="40" t="s">
        <v>44</v>
      </c>
      <c r="AG38" s="40" t="s">
        <v>45</v>
      </c>
      <c r="AH38" s="40" t="s">
        <v>43</v>
      </c>
    </row>
    <row r="39" ht="24.0" customHeight="1">
      <c r="A39" s="40">
        <v>2.024900803E9</v>
      </c>
      <c r="B39" s="41" t="s">
        <v>137</v>
      </c>
      <c r="C39" s="17" t="str">
        <f>IFERROR(__xludf.DUMMYFUNCTION("IFERROR(XLOOKUP(A39, IMPORTRANGE(""1dfbuNQ3U1XqtdPB70d4KK-T2neyc0ZV0mzl9Q33XU-4"", ""web!A:A""), IMPORTRANGE(""1dfbuNQ3U1XqtdPB70d4KK-T2neyc0ZV0mzl9Q33XU-4"", ""web!B:B"")), """")"),"王朝新")</f>
        <v>王朝新</v>
      </c>
      <c r="D39" s="17">
        <f>IF(UPPER(E39)=UPPER(E5),E4,0)+IF(UPPER(F39)=UPPER(F5),F4,0)+IF(UPPER(G39)=UPPER(G5),G4,0)+IF(UPPER(H39)=UPPER(H5),H4,0)+IF(UPPER(I39)=UPPER(I5),I4,0)+IF(UPPER(J39)=UPPER(J5),J4,0)+IF(UPPER(K39)=UPPER(K5),K4,0)+IF(UPPER(L39)=UPPER(L5),L4,0)+IF(UPPER(M39)=UPPER(M5),M4,0)+IF(UPPER(N39)=UPPER(N5),N4,0)+IF(UPPER(O39)=UPPER(O5),O4,0)+IF(UPPER(P39)=UPPER(P5),P4,0)+IF(UPPER(Q39)=UPPER(Q5),Q4,0)+IF(UPPER(R39)=UPPER(R5),R4,0)+IF(UPPER(S39)=UPPER(S5),S4,0)+IF(UPPER(T39)=UPPER(T5),T4,0)+IF(UPPER(U39)=UPPER(U5),U4,0)+IF(UPPER(V39)=UPPER(V5),V4,0)+IF(UPPER(W39)=UPPER(W5),W4,0)+IF(UPPER(X39)=UPPER(X5),X4,0)+IF(UPPER(Y39)=UPPER(Y5),Y4,0)+IF(UPPER(Z39)=UPPER(Z5),Z4,0)+IF(UPPER(AA39)=UPPER(AA5),AA4,0)+IF(UPPER(AB39)=UPPER(AB5),AB4,0)+IF(UPPER(AC39)=UPPER(AC5),AC4,0)+IF(UPPER(AD39)=UPPER(AD5),AD4,0)+IF(UPPER(AE39)=UPPER(AE5),AE4,0)+IF(UPPER(AF39)=UPPER(AF5),AF4,0)+IF(UPPER(AG39)=UPPER(AG5),AG4,0)+IF(UPPER(AH39)=UPPER(AH5),AH4,0)</f>
        <v>80</v>
      </c>
      <c r="E39" s="28" t="s">
        <v>46</v>
      </c>
      <c r="F39" s="28" t="s">
        <v>46</v>
      </c>
      <c r="G39" s="28" t="s">
        <v>43</v>
      </c>
      <c r="H39" s="28" t="s">
        <v>46</v>
      </c>
      <c r="I39" s="28" t="s">
        <v>44</v>
      </c>
      <c r="J39" s="28" t="s">
        <v>43</v>
      </c>
      <c r="K39" s="28" t="s">
        <v>46</v>
      </c>
      <c r="L39" s="28" t="s">
        <v>45</v>
      </c>
      <c r="M39" s="28" t="s">
        <v>44</v>
      </c>
      <c r="N39" s="28" t="s">
        <v>43</v>
      </c>
      <c r="O39" s="28" t="s">
        <v>46</v>
      </c>
      <c r="P39" s="28" t="s">
        <v>44</v>
      </c>
      <c r="Q39" s="28" t="s">
        <v>44</v>
      </c>
      <c r="R39" s="28" t="s">
        <v>43</v>
      </c>
      <c r="S39" s="28" t="s">
        <v>46</v>
      </c>
      <c r="T39" s="28" t="s">
        <v>44</v>
      </c>
      <c r="U39" s="28" t="s">
        <v>45</v>
      </c>
      <c r="V39" s="28" t="s">
        <v>43</v>
      </c>
      <c r="W39" s="28" t="s">
        <v>46</v>
      </c>
      <c r="X39" s="28" t="s">
        <v>44</v>
      </c>
      <c r="Y39" s="28" t="s">
        <v>45</v>
      </c>
      <c r="Z39" s="28" t="s">
        <v>43</v>
      </c>
      <c r="AA39" s="28" t="s">
        <v>44</v>
      </c>
      <c r="AB39" s="28" t="s">
        <v>46</v>
      </c>
      <c r="AC39" s="28" t="s">
        <v>45</v>
      </c>
      <c r="AD39" s="28" t="s">
        <v>44</v>
      </c>
      <c r="AE39" s="28" t="s">
        <v>44</v>
      </c>
      <c r="AF39" s="28" t="s">
        <v>46</v>
      </c>
      <c r="AG39" s="28" t="s">
        <v>46</v>
      </c>
      <c r="AH39" s="28" t="s">
        <v>44</v>
      </c>
    </row>
    <row r="40" ht="24.0" customHeight="1">
      <c r="A40" s="40">
        <v>2.024902262E9</v>
      </c>
      <c r="B40" s="14" t="s">
        <v>138</v>
      </c>
      <c r="C40" s="15" t="str">
        <f>IFERROR(__xludf.DUMMYFUNCTION("IFERROR(XLOOKUP(A40, IMPORTRANGE(""1dfbuNQ3U1XqtdPB70d4KK-T2neyc0ZV0mzl9Q33XU-4"", ""web!A:A""), IMPORTRANGE(""1dfbuNQ3U1XqtdPB70d4KK-T2neyc0ZV0mzl9Q33XU-4"", ""web!B:B"")), """")"),"郏起立")</f>
        <v>郏起立</v>
      </c>
      <c r="D40" s="15">
        <f>IF(UPPER(E40)=UPPER(E5),E4,0)+IF(UPPER(F40)=UPPER(F5),F4,0)+IF(UPPER(G40)=UPPER(G5),G4,0)+IF(UPPER(H40)=UPPER(H5),H4,0)+IF(UPPER(I40)=UPPER(I5),I4,0)+IF(UPPER(J40)=UPPER(J5),J4,0)+IF(UPPER(K40)=UPPER(K5),K4,0)+IF(UPPER(L40)=UPPER(L5),L4,0)+IF(UPPER(M40)=UPPER(M5),M4,0)+IF(UPPER(N40)=UPPER(N5),N4,0)+IF(UPPER(O40)=UPPER(O5),O4,0)+IF(UPPER(P40)=UPPER(P5),P4,0)+IF(UPPER(Q40)=UPPER(Q5),Q4,0)+IF(UPPER(R40)=UPPER(R5),R4,0)+IF(UPPER(S40)=UPPER(S5),S4,0)+IF(UPPER(T40)=UPPER(T5),T4,0)+IF(UPPER(U40)=UPPER(U5),U4,0)+IF(UPPER(V40)=UPPER(V5),V4,0)+IF(UPPER(W40)=UPPER(W5),W4,0)+IF(UPPER(X40)=UPPER(X5),X4,0)+IF(UPPER(Y40)=UPPER(Y5),Y4,0)+IF(UPPER(Z40)=UPPER(Z5),Z4,0)+IF(UPPER(AA40)=UPPER(AA5),AA4,0)+IF(UPPER(AB40)=UPPER(AB5),AB4,0)+IF(UPPER(AC40)=UPPER(AC5),AC4,0)+IF(UPPER(AD40)=UPPER(AD5),AD4,0)+IF(UPPER(AE40)=UPPER(AE5),AE4,0)+IF(UPPER(AF40)=UPPER(AF5),AF4,0)+IF(UPPER(AG40)=UPPER(AG5),AG4,0)+IF(UPPER(AH40)=UPPER(AH5),AH4,0)</f>
        <v>73</v>
      </c>
      <c r="E40" s="40" t="s">
        <v>44</v>
      </c>
      <c r="F40" s="40" t="s">
        <v>46</v>
      </c>
      <c r="G40" s="40" t="s">
        <v>46</v>
      </c>
      <c r="H40" s="40" t="s">
        <v>46</v>
      </c>
      <c r="I40" s="40" t="s">
        <v>44</v>
      </c>
      <c r="J40" s="40" t="s">
        <v>46</v>
      </c>
      <c r="K40" s="40" t="s">
        <v>46</v>
      </c>
      <c r="L40" s="40" t="s">
        <v>45</v>
      </c>
      <c r="M40" s="40" t="s">
        <v>45</v>
      </c>
      <c r="N40" s="40" t="s">
        <v>43</v>
      </c>
      <c r="O40" s="40" t="s">
        <v>46</v>
      </c>
      <c r="P40" s="40" t="s">
        <v>43</v>
      </c>
      <c r="Q40" s="40" t="s">
        <v>44</v>
      </c>
      <c r="R40" s="40" t="s">
        <v>43</v>
      </c>
      <c r="S40" s="40" t="s">
        <v>46</v>
      </c>
      <c r="T40" s="40" t="s">
        <v>44</v>
      </c>
      <c r="U40" s="40" t="s">
        <v>45</v>
      </c>
      <c r="V40" s="40" t="s">
        <v>43</v>
      </c>
      <c r="W40" s="40" t="s">
        <v>46</v>
      </c>
      <c r="X40" s="40" t="s">
        <v>44</v>
      </c>
      <c r="Y40" s="40" t="s">
        <v>45</v>
      </c>
      <c r="Z40" s="40" t="s">
        <v>46</v>
      </c>
      <c r="AA40" s="40" t="s">
        <v>44</v>
      </c>
      <c r="AB40" s="40" t="s">
        <v>46</v>
      </c>
      <c r="AC40" s="40" t="s">
        <v>44</v>
      </c>
      <c r="AD40" s="40" t="s">
        <v>40</v>
      </c>
      <c r="AE40" s="40" t="s">
        <v>43</v>
      </c>
      <c r="AF40" s="40" t="s">
        <v>46</v>
      </c>
      <c r="AG40" s="40" t="s">
        <v>45</v>
      </c>
      <c r="AH40" s="40" t="s">
        <v>43</v>
      </c>
    </row>
    <row r="41" ht="24.0" customHeight="1">
      <c r="A41" s="40">
        <v>2.024904791E9</v>
      </c>
      <c r="B41" s="41" t="s">
        <v>139</v>
      </c>
      <c r="C41" s="17" t="str">
        <f>IFERROR(__xludf.DUMMYFUNCTION("IFERROR(XLOOKUP(A41, IMPORTRANGE(""1dfbuNQ3U1XqtdPB70d4KK-T2neyc0ZV0mzl9Q33XU-4"", ""web!A:A""), IMPORTRANGE(""1dfbuNQ3U1XqtdPB70d4KK-T2neyc0ZV0mzl9Q33XU-4"", ""web!B:B"")), """")"),"闫缤月")</f>
        <v>闫缤月</v>
      </c>
      <c r="D41" s="17">
        <f>IF(UPPER(E41)=UPPER(E5),E4,0)+IF(UPPER(F41)=UPPER(F5),F4,0)+IF(UPPER(G41)=UPPER(G5),G4,0)+IF(UPPER(H41)=UPPER(H5),H4,0)+IF(UPPER(I41)=UPPER(I5),I4,0)+IF(UPPER(J41)=UPPER(J5),J4,0)+IF(UPPER(K41)=UPPER(K5),K4,0)+IF(UPPER(L41)=UPPER(L5),L4,0)+IF(UPPER(M41)=UPPER(M5),M4,0)+IF(UPPER(N41)=UPPER(N5),N4,0)+IF(UPPER(O41)=UPPER(O5),O4,0)+IF(UPPER(P41)=UPPER(P5),P4,0)+IF(UPPER(Q41)=UPPER(Q5),Q4,0)+IF(UPPER(R41)=UPPER(R5),R4,0)+IF(UPPER(S41)=UPPER(S5),S4,0)+IF(UPPER(T41)=UPPER(T5),T4,0)+IF(UPPER(U41)=UPPER(U5),U4,0)+IF(UPPER(V41)=UPPER(V5),V4,0)+IF(UPPER(W41)=UPPER(W5),W4,0)+IF(UPPER(X41)=UPPER(X5),X4,0)+IF(UPPER(Y41)=UPPER(Y5),Y4,0)+IF(UPPER(Z41)=UPPER(Z5),Z4,0)+IF(UPPER(AA41)=UPPER(AA5),AA4,0)+IF(UPPER(AB41)=UPPER(AB5),AB4,0)+IF(UPPER(AC41)=UPPER(AC5),AC4,0)+IF(UPPER(AD41)=UPPER(AD5),AD4,0)+IF(UPPER(AE41)=UPPER(AE5),AE4,0)+IF(UPPER(AF41)=UPPER(AF5),AF4,0)+IF(UPPER(AG41)=UPPER(AG5),AG4,0)+IF(UPPER(AH41)=UPPER(AH5),AH4,0)</f>
        <v>53</v>
      </c>
      <c r="E41" s="28" t="s">
        <v>46</v>
      </c>
      <c r="F41" s="28" t="s">
        <v>46</v>
      </c>
      <c r="G41" s="28" t="s">
        <v>45</v>
      </c>
      <c r="H41" s="28" t="s">
        <v>44</v>
      </c>
      <c r="I41" s="28" t="s">
        <v>44</v>
      </c>
      <c r="J41" s="28" t="s">
        <v>46</v>
      </c>
      <c r="K41" s="28" t="s">
        <v>46</v>
      </c>
      <c r="L41" s="28" t="s">
        <v>45</v>
      </c>
      <c r="M41" s="28" t="s">
        <v>46</v>
      </c>
      <c r="N41" s="28" t="s">
        <v>43</v>
      </c>
      <c r="O41" s="28" t="s">
        <v>46</v>
      </c>
      <c r="P41" s="28" t="s">
        <v>44</v>
      </c>
      <c r="Q41" s="28" t="s">
        <v>43</v>
      </c>
      <c r="R41" s="28" t="s">
        <v>46</v>
      </c>
      <c r="S41" s="28" t="s">
        <v>46</v>
      </c>
      <c r="T41" s="28" t="s">
        <v>43</v>
      </c>
      <c r="U41" s="28" t="s">
        <v>44</v>
      </c>
      <c r="V41" s="28" t="s">
        <v>43</v>
      </c>
      <c r="W41" s="28" t="s">
        <v>46</v>
      </c>
      <c r="X41" s="28" t="s">
        <v>45</v>
      </c>
      <c r="Y41" s="28" t="s">
        <v>46</v>
      </c>
      <c r="Z41" s="28" t="s">
        <v>43</v>
      </c>
      <c r="AA41" s="28" t="s">
        <v>43</v>
      </c>
      <c r="AB41" s="28" t="s">
        <v>46</v>
      </c>
      <c r="AC41" s="28" t="s">
        <v>44</v>
      </c>
      <c r="AD41" s="28" t="s">
        <v>43</v>
      </c>
      <c r="AE41" s="28" t="s">
        <v>44</v>
      </c>
      <c r="AF41" s="28" t="s">
        <v>46</v>
      </c>
      <c r="AG41" s="28" t="s">
        <v>46</v>
      </c>
      <c r="AH41" s="28" t="s">
        <v>46</v>
      </c>
    </row>
    <row r="42" ht="24.0" customHeight="1">
      <c r="A42" s="40">
        <v>2.024903033E9</v>
      </c>
      <c r="B42" s="42" t="s">
        <v>140</v>
      </c>
      <c r="C42" s="15" t="str">
        <f>IFERROR(__xludf.DUMMYFUNCTION("IFERROR(XLOOKUP(A42, IMPORTRANGE(""1dfbuNQ3U1XqtdPB70d4KK-T2neyc0ZV0mzl9Q33XU-4"", ""web!A:A""), IMPORTRANGE(""1dfbuNQ3U1XqtdPB70d4KK-T2neyc0ZV0mzl9Q33XU-4"", ""web!B:B"")), """")"),"何澎瑞")</f>
        <v>何澎瑞</v>
      </c>
      <c r="D42" s="15">
        <f>IF(UPPER(E42)=UPPER(E5),E4,0)+IF(UPPER(F42)=UPPER(F5),F4,0)+IF(UPPER(G42)=UPPER(G5),G4,0)+IF(UPPER(H42)=UPPER(H5),H4,0)+IF(UPPER(I42)=UPPER(I5),I4,0)+IF(UPPER(J42)=UPPER(J5),J4,0)+IF(UPPER(K42)=UPPER(K5),K4,0)+IF(UPPER(L42)=UPPER(L5),L4,0)+IF(UPPER(M42)=UPPER(M5),M4,0)+IF(UPPER(N42)=UPPER(N5),N4,0)+IF(UPPER(O42)=UPPER(O5),O4,0)+IF(UPPER(P42)=UPPER(P5),P4,0)+IF(UPPER(Q42)=UPPER(Q5),Q4,0)+IF(UPPER(R42)=UPPER(R5),R4,0)+IF(UPPER(S42)=UPPER(S5),S4,0)+IF(UPPER(T42)=UPPER(T5),T4,0)+IF(UPPER(U42)=UPPER(U5),U4,0)+IF(UPPER(V42)=UPPER(V5),V4,0)+IF(UPPER(W42)=UPPER(W5),W4,0)+IF(UPPER(X42)=UPPER(X5),X4,0)+IF(UPPER(Y42)=UPPER(Y5),Y4,0)+IF(UPPER(Z42)=UPPER(Z5),Z4,0)+IF(UPPER(AA42)=UPPER(AA5),AA4,0)+IF(UPPER(AB42)=UPPER(AB5),AB4,0)+IF(UPPER(AC42)=UPPER(AC5),AC4,0)+IF(UPPER(AD42)=UPPER(AD5),AD4,0)+IF(UPPER(AE42)=UPPER(AE5),AE4,0)+IF(UPPER(AF42)=UPPER(AF5),AF4,0)+IF(UPPER(AG42)=UPPER(AG5),AG4,0)+IF(UPPER(AH42)=UPPER(AH5),AH4,0)</f>
        <v>74</v>
      </c>
      <c r="E42" s="40" t="s">
        <v>44</v>
      </c>
      <c r="F42" s="40" t="s">
        <v>46</v>
      </c>
      <c r="G42" s="40" t="s">
        <v>43</v>
      </c>
      <c r="H42" s="40" t="s">
        <v>46</v>
      </c>
      <c r="I42" s="40" t="s">
        <v>44</v>
      </c>
      <c r="J42" s="40" t="s">
        <v>43</v>
      </c>
      <c r="K42" s="40" t="s">
        <v>46</v>
      </c>
      <c r="L42" s="40" t="s">
        <v>45</v>
      </c>
      <c r="M42" s="40" t="s">
        <v>44</v>
      </c>
      <c r="N42" s="40" t="s">
        <v>43</v>
      </c>
      <c r="O42" s="40" t="s">
        <v>44</v>
      </c>
      <c r="P42" s="40" t="s">
        <v>44</v>
      </c>
      <c r="Q42" s="40" t="s">
        <v>45</v>
      </c>
      <c r="R42" s="40" t="s">
        <v>43</v>
      </c>
      <c r="S42" s="40" t="s">
        <v>46</v>
      </c>
      <c r="T42" s="40" t="s">
        <v>44</v>
      </c>
      <c r="U42" s="40" t="s">
        <v>45</v>
      </c>
      <c r="V42" s="40" t="s">
        <v>43</v>
      </c>
      <c r="W42" s="40" t="s">
        <v>46</v>
      </c>
      <c r="X42" s="40" t="s">
        <v>46</v>
      </c>
      <c r="Y42" s="40" t="s">
        <v>45</v>
      </c>
      <c r="Z42" s="40" t="s">
        <v>46</v>
      </c>
      <c r="AA42" s="40" t="s">
        <v>44</v>
      </c>
      <c r="AB42" s="40" t="s">
        <v>46</v>
      </c>
      <c r="AC42" s="40" t="s">
        <v>44</v>
      </c>
      <c r="AD42" s="40" t="s">
        <v>46</v>
      </c>
      <c r="AE42" s="40" t="s">
        <v>44</v>
      </c>
      <c r="AF42" s="40" t="s">
        <v>46</v>
      </c>
      <c r="AG42" s="40" t="s">
        <v>46</v>
      </c>
      <c r="AH42" s="40" t="s">
        <v>43</v>
      </c>
    </row>
    <row r="43" ht="24.0" customHeight="1">
      <c r="A43" s="13">
        <v>2.02490472E9</v>
      </c>
      <c r="B43" s="41" t="s">
        <v>141</v>
      </c>
      <c r="C43" s="17" t="str">
        <f>IFERROR(__xludf.DUMMYFUNCTION("IFERROR(XLOOKUP(A43, IMPORTRANGE(""1dfbuNQ3U1XqtdPB70d4KK-T2neyc0ZV0mzl9Q33XU-4"", ""web!A:A""), IMPORTRANGE(""1dfbuNQ3U1XqtdPB70d4KK-T2neyc0ZV0mzl9Q33XU-4"", ""web!B:B"")), """")"),"夏俊良")</f>
        <v>夏俊良</v>
      </c>
      <c r="D43" s="17">
        <f>IF(UPPER(E43)=UPPER(E5),E4,0)+IF(UPPER(F43)=UPPER(F5),F4,0)+IF(UPPER(G43)=UPPER(G5),G4,0)+IF(UPPER(H43)=UPPER(H5),H4,0)+IF(UPPER(I43)=UPPER(I5),I4,0)+IF(UPPER(J43)=UPPER(J5),J4,0)+IF(UPPER(K43)=UPPER(K5),K4,0)+IF(UPPER(L43)=UPPER(L5),L4,0)+IF(UPPER(M43)=UPPER(M5),M4,0)+IF(UPPER(N43)=UPPER(N5),N4,0)+IF(UPPER(O43)=UPPER(O5),O4,0)+IF(UPPER(P43)=UPPER(P5),P4,0)+IF(UPPER(Q43)=UPPER(Q5),Q4,0)+IF(UPPER(R43)=UPPER(R5),R4,0)+IF(UPPER(S43)=UPPER(S5),S4,0)+IF(UPPER(T43)=UPPER(T5),T4,0)+IF(UPPER(U43)=UPPER(U5),U4,0)+IF(UPPER(V43)=UPPER(V5),V4,0)+IF(UPPER(W43)=UPPER(W5),W4,0)+IF(UPPER(X43)=UPPER(X5),X4,0)+IF(UPPER(Y43)=UPPER(Y5),Y4,0)+IF(UPPER(Z43)=UPPER(Z5),Z4,0)+IF(UPPER(AA43)=UPPER(AA5),AA4,0)+IF(UPPER(AB43)=UPPER(AB5),AB4,0)+IF(UPPER(AC43)=UPPER(AC5),AC4,0)+IF(UPPER(AD43)=UPPER(AD5),AD4,0)+IF(UPPER(AE43)=UPPER(AE5),AE4,0)+IF(UPPER(AF43)=UPPER(AF5),AF4,0)+IF(UPPER(AG43)=UPPER(AG5),AG4,0)+IF(UPPER(AH43)=UPPER(AH5),AH4,0)</f>
        <v>59</v>
      </c>
      <c r="E43" s="28" t="s">
        <v>45</v>
      </c>
      <c r="F43" s="28" t="s">
        <v>46</v>
      </c>
      <c r="G43" s="28" t="s">
        <v>43</v>
      </c>
      <c r="H43" s="28" t="s">
        <v>46</v>
      </c>
      <c r="I43" s="28" t="s">
        <v>44</v>
      </c>
      <c r="J43" s="28" t="s">
        <v>46</v>
      </c>
      <c r="K43" s="28" t="s">
        <v>46</v>
      </c>
      <c r="L43" s="28" t="s">
        <v>43</v>
      </c>
      <c r="M43" s="28" t="s">
        <v>45</v>
      </c>
      <c r="N43" s="28" t="s">
        <v>46</v>
      </c>
      <c r="O43" s="28" t="s">
        <v>45</v>
      </c>
      <c r="P43" s="28" t="s">
        <v>45</v>
      </c>
      <c r="Q43" s="28" t="s">
        <v>45</v>
      </c>
      <c r="R43" s="28" t="s">
        <v>43</v>
      </c>
      <c r="S43" s="28" t="s">
        <v>46</v>
      </c>
      <c r="T43" s="28" t="s">
        <v>44</v>
      </c>
      <c r="U43" s="28" t="s">
        <v>45</v>
      </c>
      <c r="V43" s="28" t="s">
        <v>43</v>
      </c>
      <c r="W43" s="28" t="s">
        <v>44</v>
      </c>
      <c r="X43" s="28" t="s">
        <v>45</v>
      </c>
      <c r="Y43" s="28" t="s">
        <v>45</v>
      </c>
      <c r="Z43" s="28" t="s">
        <v>43</v>
      </c>
      <c r="AA43" s="28" t="s">
        <v>44</v>
      </c>
      <c r="AB43" s="28" t="s">
        <v>46</v>
      </c>
      <c r="AC43" s="28" t="s">
        <v>44</v>
      </c>
      <c r="AD43" s="28" t="s">
        <v>44</v>
      </c>
      <c r="AE43" s="28" t="s">
        <v>44</v>
      </c>
      <c r="AF43" s="28" t="s">
        <v>46</v>
      </c>
      <c r="AG43" s="28" t="s">
        <v>45</v>
      </c>
      <c r="AH43" s="28" t="s">
        <v>43</v>
      </c>
    </row>
    <row r="44" ht="24.0" customHeight="1">
      <c r="A44" s="40">
        <v>2.024905121E9</v>
      </c>
      <c r="B44" s="42" t="s">
        <v>142</v>
      </c>
      <c r="C44" s="15" t="str">
        <f>IFERROR(__xludf.DUMMYFUNCTION("IFERROR(XLOOKUP(A44, IMPORTRANGE(""1dfbuNQ3U1XqtdPB70d4KK-T2neyc0ZV0mzl9Q33XU-4"", ""web!A:A""), IMPORTRANGE(""1dfbuNQ3U1XqtdPB70d4KK-T2neyc0ZV0mzl9Q33XU-4"", ""web!B:B"")), """")"),"吴昊宸")</f>
        <v>吴昊宸</v>
      </c>
      <c r="D44" s="15">
        <f>IF(UPPER(E44)=UPPER(E5),E4,0)+IF(UPPER(F44)=UPPER(F5),F4,0)+IF(UPPER(G44)=UPPER(G5),G4,0)+IF(UPPER(H44)=UPPER(H5),H4,0)+IF(UPPER(I44)=UPPER(I5),I4,0)+IF(UPPER(J44)=UPPER(J5),J4,0)+IF(UPPER(K44)=UPPER(K5),K4,0)+IF(UPPER(L44)=UPPER(L5),L4,0)+IF(UPPER(M44)=UPPER(M5),M4,0)+IF(UPPER(N44)=UPPER(N5),N4,0)+IF(UPPER(O44)=UPPER(O5),O4,0)+IF(UPPER(P44)=UPPER(P5),P4,0)+IF(UPPER(Q44)=UPPER(Q5),Q4,0)+IF(UPPER(R44)=UPPER(R5),R4,0)+IF(UPPER(S44)=UPPER(S5),S4,0)+IF(UPPER(T44)=UPPER(T5),T4,0)+IF(UPPER(U44)=UPPER(U5),U4,0)+IF(UPPER(V44)=UPPER(V5),V4,0)+IF(UPPER(W44)=UPPER(W5),W4,0)+IF(UPPER(X44)=UPPER(X5),X4,0)+IF(UPPER(Y44)=UPPER(Y5),Y4,0)+IF(UPPER(Z44)=UPPER(Z5),Z4,0)+IF(UPPER(AA44)=UPPER(AA5),AA4,0)+IF(UPPER(AB44)=UPPER(AB5),AB4,0)+IF(UPPER(AC44)=UPPER(AC5),AC4,0)+IF(UPPER(AD44)=UPPER(AD5),AD4,0)+IF(UPPER(AE44)=UPPER(AE5),AE4,0)+IF(UPPER(AF44)=UPPER(AF5),AF4,0)+IF(UPPER(AG44)=UPPER(AG5),AG4,0)+IF(UPPER(AH44)=UPPER(AH5),AH4,0)</f>
        <v>52</v>
      </c>
      <c r="E44" s="40" t="s">
        <v>45</v>
      </c>
      <c r="F44" s="40" t="s">
        <v>46</v>
      </c>
      <c r="G44" s="40" t="s">
        <v>44</v>
      </c>
      <c r="H44" s="40" t="s">
        <v>45</v>
      </c>
      <c r="I44" s="40" t="s">
        <v>44</v>
      </c>
      <c r="J44" s="40" t="s">
        <v>46</v>
      </c>
      <c r="K44" s="40" t="s">
        <v>43</v>
      </c>
      <c r="L44" s="40" t="s">
        <v>43</v>
      </c>
      <c r="M44" s="40" t="s">
        <v>43</v>
      </c>
      <c r="N44" s="40" t="s">
        <v>46</v>
      </c>
      <c r="O44" s="40" t="s">
        <v>45</v>
      </c>
      <c r="P44" s="40" t="s">
        <v>44</v>
      </c>
      <c r="Q44" s="40" t="s">
        <v>45</v>
      </c>
      <c r="R44" s="40" t="s">
        <v>45</v>
      </c>
      <c r="S44" s="40" t="s">
        <v>46</v>
      </c>
      <c r="T44" s="40" t="s">
        <v>46</v>
      </c>
      <c r="U44" s="40" t="s">
        <v>46</v>
      </c>
      <c r="V44" s="40" t="s">
        <v>44</v>
      </c>
      <c r="W44" s="40" t="s">
        <v>46</v>
      </c>
      <c r="X44" s="40" t="s">
        <v>44</v>
      </c>
      <c r="Y44" s="40" t="s">
        <v>45</v>
      </c>
      <c r="Z44" s="40" t="s">
        <v>43</v>
      </c>
      <c r="AA44" s="40" t="s">
        <v>44</v>
      </c>
      <c r="AB44" s="40" t="s">
        <v>46</v>
      </c>
      <c r="AC44" s="40" t="s">
        <v>44</v>
      </c>
      <c r="AD44" s="40" t="s">
        <v>43</v>
      </c>
      <c r="AE44" s="40" t="s">
        <v>44</v>
      </c>
      <c r="AF44" s="40" t="s">
        <v>46</v>
      </c>
      <c r="AG44" s="40" t="s">
        <v>46</v>
      </c>
      <c r="AH44" s="40" t="s">
        <v>43</v>
      </c>
    </row>
    <row r="45" ht="24.0" customHeight="1">
      <c r="A45" s="40">
        <v>2.024900794E9</v>
      </c>
      <c r="B45" s="41" t="s">
        <v>143</v>
      </c>
      <c r="C45" s="17" t="str">
        <f>IFERROR(__xludf.DUMMYFUNCTION("IFERROR(XLOOKUP(A45, IMPORTRANGE(""1dfbuNQ3U1XqtdPB70d4KK-T2neyc0ZV0mzl9Q33XU-4"", ""web!A:A""), IMPORTRANGE(""1dfbuNQ3U1XqtdPB70d4KK-T2neyc0ZV0mzl9Q33XU-4"", ""web!B:B"")), """")"),"汪梦淇")</f>
        <v>汪梦淇</v>
      </c>
      <c r="D45" s="17">
        <f>IF(UPPER(E45)=UPPER(E5),E4,0)+IF(UPPER(F45)=UPPER(F5),F4,0)+IF(UPPER(G45)=UPPER(G5),G4,0)+IF(UPPER(H45)=UPPER(H5),H4,0)+IF(UPPER(I45)=UPPER(I5),I4,0)+IF(UPPER(J45)=UPPER(J5),J4,0)+IF(UPPER(K45)=UPPER(K5),K4,0)+IF(UPPER(L45)=UPPER(L5),L4,0)+IF(UPPER(M45)=UPPER(M5),M4,0)+IF(UPPER(N45)=UPPER(N5),N4,0)+IF(UPPER(O45)=UPPER(O5),O4,0)+IF(UPPER(P45)=UPPER(P5),P4,0)+IF(UPPER(Q45)=UPPER(Q5),Q4,0)+IF(UPPER(R45)=UPPER(R5),R4,0)+IF(UPPER(S45)=UPPER(S5),S4,0)+IF(UPPER(T45)=UPPER(T5),T4,0)+IF(UPPER(U45)=UPPER(U5),U4,0)+IF(UPPER(V45)=UPPER(V5),V4,0)+IF(UPPER(W45)=UPPER(W5),W4,0)+IF(UPPER(X45)=UPPER(X5),X4,0)+IF(UPPER(Y45)=UPPER(Y5),Y4,0)+IF(UPPER(Z45)=UPPER(Z5),Z4,0)+IF(UPPER(AA45)=UPPER(AA5),AA4,0)+IF(UPPER(AB45)=UPPER(AB5),AB4,0)+IF(UPPER(AC45)=UPPER(AC5),AC4,0)+IF(UPPER(AD45)=UPPER(AD5),AD4,0)+IF(UPPER(AE45)=UPPER(AE5),AE4,0)+IF(UPPER(AF45)=UPPER(AF5),AF4,0)+IF(UPPER(AG45)=UPPER(AG5),AG4,0)+IF(UPPER(AH45)=UPPER(AH5),AH4,0)</f>
        <v>69</v>
      </c>
      <c r="E45" s="28" t="s">
        <v>44</v>
      </c>
      <c r="F45" s="28" t="s">
        <v>46</v>
      </c>
      <c r="G45" s="28" t="s">
        <v>43</v>
      </c>
      <c r="H45" s="28" t="s">
        <v>46</v>
      </c>
      <c r="I45" s="28" t="s">
        <v>44</v>
      </c>
      <c r="J45" s="28" t="s">
        <v>43</v>
      </c>
      <c r="K45" s="28" t="s">
        <v>46</v>
      </c>
      <c r="L45" s="28" t="s">
        <v>45</v>
      </c>
      <c r="M45" s="28" t="s">
        <v>44</v>
      </c>
      <c r="N45" s="28" t="s">
        <v>43</v>
      </c>
      <c r="O45" s="28" t="s">
        <v>45</v>
      </c>
      <c r="P45" s="28" t="s">
        <v>44</v>
      </c>
      <c r="Q45" s="28" t="s">
        <v>44</v>
      </c>
      <c r="R45" s="28" t="s">
        <v>43</v>
      </c>
      <c r="S45" s="28" t="s">
        <v>46</v>
      </c>
      <c r="T45" s="28" t="s">
        <v>46</v>
      </c>
      <c r="U45" s="28" t="s">
        <v>46</v>
      </c>
      <c r="V45" s="28" t="s">
        <v>43</v>
      </c>
      <c r="W45" s="28" t="s">
        <v>46</v>
      </c>
      <c r="X45" s="28" t="s">
        <v>46</v>
      </c>
      <c r="Y45" s="28" t="s">
        <v>45</v>
      </c>
      <c r="Z45" s="28" t="s">
        <v>46</v>
      </c>
      <c r="AA45" s="28" t="s">
        <v>44</v>
      </c>
      <c r="AB45" s="28" t="s">
        <v>46</v>
      </c>
      <c r="AC45" s="28" t="s">
        <v>44</v>
      </c>
      <c r="AD45" s="28" t="s">
        <v>43</v>
      </c>
      <c r="AE45" s="28" t="s">
        <v>44</v>
      </c>
      <c r="AF45" s="28" t="s">
        <v>46</v>
      </c>
      <c r="AG45" s="28" t="s">
        <v>44</v>
      </c>
      <c r="AH45" s="28" t="s">
        <v>43</v>
      </c>
    </row>
    <row r="46" ht="24.0" customHeight="1">
      <c r="A46" s="40">
        <v>2.024900812E9</v>
      </c>
      <c r="B46" s="42" t="s">
        <v>144</v>
      </c>
      <c r="C46" s="15" t="str">
        <f>IFERROR(__xludf.DUMMYFUNCTION("IFERROR(XLOOKUP(A46, IMPORTRANGE(""1dfbuNQ3U1XqtdPB70d4KK-T2neyc0ZV0mzl9Q33XU-4"", ""web!A:A""), IMPORTRANGE(""1dfbuNQ3U1XqtdPB70d4KK-T2neyc0ZV0mzl9Q33XU-4"", ""web!B:B"")), """")"),"王樱棋")</f>
        <v>王樱棋</v>
      </c>
      <c r="D46" s="15">
        <f>IF(UPPER(E46)=UPPER(E5),E4,0)+IF(UPPER(F46)=UPPER(F5),F4,0)+IF(UPPER(G46)=UPPER(G5),G4,0)+IF(UPPER(H46)=UPPER(H5),H4,0)+IF(UPPER(I46)=UPPER(I5),I4,0)+IF(UPPER(J46)=UPPER(J5),J4,0)+IF(UPPER(K46)=UPPER(K5),K4,0)+IF(UPPER(L46)=UPPER(L5),L4,0)+IF(UPPER(M46)=UPPER(M5),M4,0)+IF(UPPER(N46)=UPPER(N5),N4,0)+IF(UPPER(O46)=UPPER(O5),O4,0)+IF(UPPER(P46)=UPPER(P5),P4,0)+IF(UPPER(Q46)=UPPER(Q5),Q4,0)+IF(UPPER(R46)=UPPER(R5),R4,0)+IF(UPPER(S46)=UPPER(S5),S4,0)+IF(UPPER(T46)=UPPER(T5),T4,0)+IF(UPPER(U46)=UPPER(U5),U4,0)+IF(UPPER(V46)=UPPER(V5),V4,0)+IF(UPPER(W46)=UPPER(W5),W4,0)+IF(UPPER(X46)=UPPER(X5),X4,0)+IF(UPPER(Y46)=UPPER(Y5),Y4,0)+IF(UPPER(Z46)=UPPER(Z5),Z4,0)+IF(UPPER(AA46)=UPPER(AA5),AA4,0)+IF(UPPER(AB46)=UPPER(AB5),AB4,0)+IF(UPPER(AC46)=UPPER(AC5),AC4,0)+IF(UPPER(AD46)=UPPER(AD5),AD4,0)+IF(UPPER(AE46)=UPPER(AE5),AE4,0)+IF(UPPER(AF46)=UPPER(AF5),AF4,0)+IF(UPPER(AG46)=UPPER(AG5),AG4,0)+IF(UPPER(AH46)=UPPER(AH5),AH4,0)</f>
        <v>63</v>
      </c>
      <c r="E46" s="40" t="s">
        <v>46</v>
      </c>
      <c r="F46" s="40" t="s">
        <v>46</v>
      </c>
      <c r="G46" s="40" t="s">
        <v>45</v>
      </c>
      <c r="H46" s="40" t="s">
        <v>46</v>
      </c>
      <c r="I46" s="40" t="s">
        <v>44</v>
      </c>
      <c r="J46" s="40" t="s">
        <v>46</v>
      </c>
      <c r="K46" s="40" t="s">
        <v>46</v>
      </c>
      <c r="L46" s="40" t="s">
        <v>46</v>
      </c>
      <c r="M46" s="40" t="s">
        <v>44</v>
      </c>
      <c r="N46" s="40" t="s">
        <v>46</v>
      </c>
      <c r="O46" s="40" t="s">
        <v>45</v>
      </c>
      <c r="P46" s="40" t="s">
        <v>44</v>
      </c>
      <c r="Q46" s="40" t="s">
        <v>45</v>
      </c>
      <c r="R46" s="40" t="s">
        <v>45</v>
      </c>
      <c r="S46" s="40" t="s">
        <v>46</v>
      </c>
      <c r="T46" s="40" t="s">
        <v>44</v>
      </c>
      <c r="U46" s="40" t="s">
        <v>45</v>
      </c>
      <c r="V46" s="40" t="s">
        <v>43</v>
      </c>
      <c r="W46" s="40" t="s">
        <v>44</v>
      </c>
      <c r="X46" s="40" t="s">
        <v>45</v>
      </c>
      <c r="Y46" s="40" t="s">
        <v>45</v>
      </c>
      <c r="Z46" s="40" t="s">
        <v>43</v>
      </c>
      <c r="AA46" s="40" t="s">
        <v>44</v>
      </c>
      <c r="AB46" s="40" t="s">
        <v>43</v>
      </c>
      <c r="AC46" s="40" t="s">
        <v>45</v>
      </c>
      <c r="AD46" s="40" t="s">
        <v>43</v>
      </c>
      <c r="AE46" s="40" t="s">
        <v>44</v>
      </c>
      <c r="AF46" s="40" t="s">
        <v>44</v>
      </c>
      <c r="AG46" s="40" t="s">
        <v>43</v>
      </c>
      <c r="AH46" s="40" t="s">
        <v>43</v>
      </c>
    </row>
    <row r="47" ht="24.0" customHeight="1">
      <c r="A47" s="40">
        <v>2.024902261E9</v>
      </c>
      <c r="B47" s="41" t="s">
        <v>145</v>
      </c>
      <c r="C47" s="17" t="str">
        <f>IFERROR(__xludf.DUMMYFUNCTION("IFERROR(XLOOKUP(A47, IMPORTRANGE(""1dfbuNQ3U1XqtdPB70d4KK-T2neyc0ZV0mzl9Q33XU-4"", ""web!A:A""), IMPORTRANGE(""1dfbuNQ3U1XqtdPB70d4KK-T2neyc0ZV0mzl9Q33XU-4"", ""web!B:B"")), """")"),"吕伟涛")</f>
        <v>吕伟涛</v>
      </c>
      <c r="D47" s="17">
        <f>IF(UPPER(E47)=UPPER(E5),E4,0)+IF(UPPER(F47)=UPPER(F5),F4,0)+IF(UPPER(G47)=UPPER(G5),G4,0)+IF(UPPER(H47)=UPPER(H5),H4,0)+IF(UPPER(I47)=UPPER(I5),I4,0)+IF(UPPER(J47)=UPPER(J5),J4,0)+IF(UPPER(K47)=UPPER(K5),K4,0)+IF(UPPER(L47)=UPPER(L5),L4,0)+IF(UPPER(M47)=UPPER(M5),M4,0)+IF(UPPER(N47)=UPPER(N5),N4,0)+IF(UPPER(O47)=UPPER(O5),O4,0)+IF(UPPER(P47)=UPPER(P5),P4,0)+IF(UPPER(Q47)=UPPER(Q5),Q4,0)+IF(UPPER(R47)=UPPER(R5),R4,0)+IF(UPPER(S47)=UPPER(S5),S4,0)+IF(UPPER(T47)=UPPER(T5),T4,0)+IF(UPPER(U47)=UPPER(U5),U4,0)+IF(UPPER(V47)=UPPER(V5),V4,0)+IF(UPPER(W47)=UPPER(W5),W4,0)+IF(UPPER(X47)=UPPER(X5),X4,0)+IF(UPPER(Y47)=UPPER(Y5),Y4,0)+IF(UPPER(Z47)=UPPER(Z5),Z4,0)+IF(UPPER(AA47)=UPPER(AA5),AA4,0)+IF(UPPER(AB47)=UPPER(AB5),AB4,0)+IF(UPPER(AC47)=UPPER(AC5),AC4,0)+IF(UPPER(AD47)=UPPER(AD5),AD4,0)+IF(UPPER(AE47)=UPPER(AE5),AE4,0)+IF(UPPER(AF47)=UPPER(AF5),AF4,0)+IF(UPPER(AG47)=UPPER(AG5),AG4,0)+IF(UPPER(AH47)=UPPER(AH5),AH4,0)</f>
        <v>73</v>
      </c>
      <c r="E47" s="28" t="s">
        <v>44</v>
      </c>
      <c r="F47" s="28" t="s">
        <v>46</v>
      </c>
      <c r="G47" s="28" t="s">
        <v>45</v>
      </c>
      <c r="H47" s="28" t="s">
        <v>46</v>
      </c>
      <c r="I47" s="28" t="s">
        <v>44</v>
      </c>
      <c r="J47" s="28" t="s">
        <v>46</v>
      </c>
      <c r="K47" s="28" t="s">
        <v>46</v>
      </c>
      <c r="L47" s="28" t="s">
        <v>45</v>
      </c>
      <c r="M47" s="28" t="s">
        <v>44</v>
      </c>
      <c r="N47" s="28" t="s">
        <v>46</v>
      </c>
      <c r="O47" s="28" t="s">
        <v>45</v>
      </c>
      <c r="P47" s="28" t="s">
        <v>44</v>
      </c>
      <c r="Q47" s="28" t="s">
        <v>44</v>
      </c>
      <c r="R47" s="28" t="s">
        <v>46</v>
      </c>
      <c r="S47" s="28" t="s">
        <v>46</v>
      </c>
      <c r="T47" s="28" t="s">
        <v>44</v>
      </c>
      <c r="U47" s="28" t="s">
        <v>45</v>
      </c>
      <c r="V47" s="28" t="s">
        <v>43</v>
      </c>
      <c r="W47" s="28" t="s">
        <v>44</v>
      </c>
      <c r="X47" s="28" t="s">
        <v>44</v>
      </c>
      <c r="Y47" s="28" t="s">
        <v>45</v>
      </c>
      <c r="Z47" s="28" t="s">
        <v>43</v>
      </c>
      <c r="AA47" s="28" t="s">
        <v>43</v>
      </c>
      <c r="AB47" s="28" t="s">
        <v>46</v>
      </c>
      <c r="AC47" s="28" t="s">
        <v>45</v>
      </c>
      <c r="AD47" s="28" t="s">
        <v>43</v>
      </c>
      <c r="AE47" s="28" t="s">
        <v>44</v>
      </c>
      <c r="AF47" s="28" t="s">
        <v>46</v>
      </c>
      <c r="AG47" s="28" t="s">
        <v>43</v>
      </c>
      <c r="AH47" s="28" t="s">
        <v>43</v>
      </c>
    </row>
    <row r="48" ht="24.0" customHeight="1">
      <c r="A48" s="40">
        <v>2.024900596E9</v>
      </c>
      <c r="B48" s="14" t="s">
        <v>146</v>
      </c>
      <c r="C48" s="15" t="str">
        <f>IFERROR(__xludf.DUMMYFUNCTION("IFERROR(XLOOKUP(A48, IMPORTRANGE(""1dfbuNQ3U1XqtdPB70d4KK-T2neyc0ZV0mzl9Q33XU-4"", ""web!A:A""), IMPORTRANGE(""1dfbuNQ3U1XqtdPB70d4KK-T2neyc0ZV0mzl9Q33XU-4"", ""web!B:B"")), """")"),"孙伊凡")</f>
        <v>孙伊凡</v>
      </c>
      <c r="D48" s="15">
        <f>IF(UPPER(E48)=UPPER(E5),E4,0)+IF(UPPER(F48)=UPPER(F5),F4,0)+IF(UPPER(G48)=UPPER(G5),G4,0)+IF(UPPER(H48)=UPPER(H5),H4,0)+IF(UPPER(I48)=UPPER(I5),I4,0)+IF(UPPER(J48)=UPPER(J5),J4,0)+IF(UPPER(K48)=UPPER(K5),K4,0)+IF(UPPER(L48)=UPPER(L5),L4,0)+IF(UPPER(M48)=UPPER(M5),M4,0)+IF(UPPER(N48)=UPPER(N5),N4,0)+IF(UPPER(O48)=UPPER(O5),O4,0)+IF(UPPER(P48)=UPPER(P5),P4,0)+IF(UPPER(Q48)=UPPER(Q5),Q4,0)+IF(UPPER(R48)=UPPER(R5),R4,0)+IF(UPPER(S48)=UPPER(S5),S4,0)+IF(UPPER(T48)=UPPER(T5),T4,0)+IF(UPPER(U48)=UPPER(U5),U4,0)+IF(UPPER(V48)=UPPER(V5),V4,0)+IF(UPPER(W48)=UPPER(W5),W4,0)+IF(UPPER(X48)=UPPER(X5),X4,0)+IF(UPPER(Y48)=UPPER(Y5),Y4,0)+IF(UPPER(Z48)=UPPER(Z5),Z4,0)+IF(UPPER(AA48)=UPPER(AA5),AA4,0)+IF(UPPER(AB48)=UPPER(AB5),AB4,0)+IF(UPPER(AC48)=UPPER(AC5),AC4,0)+IF(UPPER(AD48)=UPPER(AD5),AD4,0)+IF(UPPER(AE48)=UPPER(AE5),AE4,0)+IF(UPPER(AF48)=UPPER(AF5),AF4,0)+IF(UPPER(AG48)=UPPER(AG5),AG4,0)+IF(UPPER(AH48)=UPPER(AH5),AH4,0)</f>
        <v>76</v>
      </c>
      <c r="E48" s="40" t="s">
        <v>44</v>
      </c>
      <c r="F48" s="40" t="s">
        <v>46</v>
      </c>
      <c r="G48" s="40" t="s">
        <v>43</v>
      </c>
      <c r="H48" s="40" t="s">
        <v>46</v>
      </c>
      <c r="I48" s="40" t="s">
        <v>44</v>
      </c>
      <c r="J48" s="40" t="s">
        <v>43</v>
      </c>
      <c r="K48" s="40" t="s">
        <v>46</v>
      </c>
      <c r="L48" s="40" t="s">
        <v>45</v>
      </c>
      <c r="M48" s="40" t="s">
        <v>43</v>
      </c>
      <c r="N48" s="40" t="s">
        <v>46</v>
      </c>
      <c r="O48" s="40" t="s">
        <v>45</v>
      </c>
      <c r="P48" s="40" t="s">
        <v>43</v>
      </c>
      <c r="Q48" s="40" t="s">
        <v>45</v>
      </c>
      <c r="R48" s="40" t="s">
        <v>43</v>
      </c>
      <c r="S48" s="40" t="s">
        <v>46</v>
      </c>
      <c r="T48" s="40" t="s">
        <v>44</v>
      </c>
      <c r="U48" s="40" t="s">
        <v>45</v>
      </c>
      <c r="V48" s="40" t="s">
        <v>43</v>
      </c>
      <c r="W48" s="40" t="s">
        <v>44</v>
      </c>
      <c r="X48" s="40" t="s">
        <v>44</v>
      </c>
      <c r="Y48" s="40" t="s">
        <v>45</v>
      </c>
      <c r="Z48" s="40" t="s">
        <v>43</v>
      </c>
      <c r="AA48" s="40" t="s">
        <v>44</v>
      </c>
      <c r="AB48" s="40" t="s">
        <v>46</v>
      </c>
      <c r="AC48" s="40" t="s">
        <v>45</v>
      </c>
      <c r="AD48" s="40" t="s">
        <v>44</v>
      </c>
      <c r="AE48" s="40" t="s">
        <v>44</v>
      </c>
      <c r="AF48" s="40" t="s">
        <v>46</v>
      </c>
      <c r="AG48" s="40" t="s">
        <v>45</v>
      </c>
      <c r="AH48" s="40" t="s">
        <v>43</v>
      </c>
    </row>
    <row r="49" ht="24.0" customHeight="1">
      <c r="A49" s="40">
        <v>2.024904086E9</v>
      </c>
      <c r="B49" s="42" t="s">
        <v>147</v>
      </c>
      <c r="C49" s="15" t="str">
        <f>IFERROR(__xludf.DUMMYFUNCTION("IFERROR(XLOOKUP(A49, IMPORTRANGE(""1dfbuNQ3U1XqtdPB70d4KK-T2neyc0ZV0mzl9Q33XU-4"", ""web!A:A""), IMPORTRANGE(""1dfbuNQ3U1XqtdPB70d4KK-T2neyc0ZV0mzl9Q33XU-4"", ""web!B:B"")), """")"),"周子文")</f>
        <v>周子文</v>
      </c>
      <c r="D49" s="15">
        <f>IF(UPPER(E49)=UPPER(E5),E4,0)+IF(UPPER(F49)=UPPER(F5),F4,0)+IF(UPPER(G49)=UPPER(G5),G4,0)+IF(UPPER(H49)=UPPER(H5),H4,0)+IF(UPPER(I49)=UPPER(I5),I4,0)+IF(UPPER(J49)=UPPER(J5),J4,0)+IF(UPPER(K49)=UPPER(K5),K4,0)+IF(UPPER(L49)=UPPER(L5),L4,0)+IF(UPPER(M49)=UPPER(M5),M4,0)+IF(UPPER(N49)=UPPER(N5),N4,0)+IF(UPPER(O49)=UPPER(O5),O4,0)+IF(UPPER(P49)=UPPER(P5),P4,0)+IF(UPPER(Q49)=UPPER(Q5),Q4,0)+IF(UPPER(R49)=UPPER(R5),R4,0)+IF(UPPER(S49)=UPPER(S5),S4,0)+IF(UPPER(T49)=UPPER(T5),T4,0)+IF(UPPER(U49)=UPPER(U5),U4,0)+IF(UPPER(V49)=UPPER(V5),V4,0)+IF(UPPER(W49)=UPPER(W5),W4,0)+IF(UPPER(X49)=UPPER(X5),X4,0)+IF(UPPER(Y49)=UPPER(Y5),Y4,0)+IF(UPPER(Z49)=UPPER(Z5),Z4,0)+IF(UPPER(AA49)=UPPER(AA5),AA4,0)+IF(UPPER(AB49)=UPPER(AB5),AB4,0)+IF(UPPER(AC49)=UPPER(AC5),AC4,0)+IF(UPPER(AD49)=UPPER(AD5),AD4,0)+IF(UPPER(AE49)=UPPER(AE5),AE4,0)+IF(UPPER(AF49)=UPPER(AF5),AF4,0)+IF(UPPER(AG49)=UPPER(AG5),AG4,0)+IF(UPPER(AH49)=UPPER(AH5),AH4,0)</f>
        <v>71</v>
      </c>
      <c r="E49" s="40" t="s">
        <v>44</v>
      </c>
      <c r="F49" s="40" t="s">
        <v>46</v>
      </c>
      <c r="G49" s="40" t="s">
        <v>43</v>
      </c>
      <c r="H49" s="40" t="s">
        <v>46</v>
      </c>
      <c r="I49" s="40" t="s">
        <v>44</v>
      </c>
      <c r="J49" s="40" t="s">
        <v>46</v>
      </c>
      <c r="K49" s="40" t="s">
        <v>46</v>
      </c>
      <c r="L49" s="40" t="s">
        <v>45</v>
      </c>
      <c r="M49" s="40" t="s">
        <v>46</v>
      </c>
      <c r="N49" s="40" t="s">
        <v>43</v>
      </c>
      <c r="O49" s="40" t="s">
        <v>46</v>
      </c>
      <c r="P49" s="40" t="s">
        <v>43</v>
      </c>
      <c r="Q49" s="40" t="s">
        <v>45</v>
      </c>
      <c r="R49" s="40" t="s">
        <v>43</v>
      </c>
      <c r="S49" s="40" t="s">
        <v>46</v>
      </c>
      <c r="T49" s="40" t="s">
        <v>44</v>
      </c>
      <c r="U49" s="40" t="s">
        <v>45</v>
      </c>
      <c r="V49" s="40" t="s">
        <v>43</v>
      </c>
      <c r="W49" s="40" t="s">
        <v>46</v>
      </c>
      <c r="X49" s="40" t="s">
        <v>46</v>
      </c>
      <c r="Y49" s="40" t="s">
        <v>45</v>
      </c>
      <c r="Z49" s="40" t="s">
        <v>43</v>
      </c>
      <c r="AA49" s="40" t="s">
        <v>44</v>
      </c>
      <c r="AB49" s="40" t="s">
        <v>46</v>
      </c>
      <c r="AC49" s="40" t="s">
        <v>43</v>
      </c>
      <c r="AD49" s="40" t="s">
        <v>46</v>
      </c>
      <c r="AE49" s="40" t="s">
        <v>44</v>
      </c>
      <c r="AF49" s="40" t="s">
        <v>46</v>
      </c>
      <c r="AG49" s="40" t="s">
        <v>45</v>
      </c>
      <c r="AH49" s="40" t="s">
        <v>44</v>
      </c>
    </row>
    <row r="50" ht="24.0" customHeight="1">
      <c r="A50" s="40">
        <v>2.024903717E9</v>
      </c>
      <c r="B50" s="41" t="s">
        <v>148</v>
      </c>
      <c r="C50" s="17" t="str">
        <f>IFERROR(__xludf.DUMMYFUNCTION("IFERROR(XLOOKUP(A50, IMPORTRANGE(""1dfbuNQ3U1XqtdPB70d4KK-T2neyc0ZV0mzl9Q33XU-4"", ""web!A:A""), IMPORTRANGE(""1dfbuNQ3U1XqtdPB70d4KK-T2neyc0ZV0mzl9Q33XU-4"", ""web!B:B"")), """")"),"陆宇骋")</f>
        <v>陆宇骋</v>
      </c>
      <c r="D50" s="17">
        <f>IF(UPPER(E50)=UPPER(E5),E4,0)+IF(UPPER(F50)=UPPER(F5),F4,0)+IF(UPPER(G50)=UPPER(G5),G4,0)+IF(UPPER(H50)=UPPER(H5),H4,0)+IF(UPPER(I50)=UPPER(I5),I4,0)+IF(UPPER(J50)=UPPER(J5),J4,0)+IF(UPPER(K50)=UPPER(K5),K4,0)+IF(UPPER(L50)=UPPER(L5),L4,0)+IF(UPPER(M50)=UPPER(M5),M4,0)+IF(UPPER(N50)=UPPER(N5),N4,0)+IF(UPPER(O50)=UPPER(O5),O4,0)+IF(UPPER(P50)=UPPER(P5),P4,0)+IF(UPPER(Q50)=UPPER(Q5),Q4,0)+IF(UPPER(R50)=UPPER(R5),R4,0)+IF(UPPER(S50)=UPPER(S5),S4,0)+IF(UPPER(T50)=UPPER(T5),T4,0)+IF(UPPER(U50)=UPPER(U5),U4,0)+IF(UPPER(V50)=UPPER(V5),V4,0)+IF(UPPER(W50)=UPPER(W5),W4,0)+IF(UPPER(X50)=UPPER(X5),X4,0)+IF(UPPER(Y50)=UPPER(Y5),Y4,0)+IF(UPPER(Z50)=UPPER(Z5),Z4,0)+IF(UPPER(AA50)=UPPER(AA5),AA4,0)+IF(UPPER(AB50)=UPPER(AB5),AB4,0)+IF(UPPER(AC50)=UPPER(AC5),AC4,0)+IF(UPPER(AD50)=UPPER(AD5),AD4,0)+IF(UPPER(AE50)=UPPER(AE5),AE4,0)+IF(UPPER(AF50)=UPPER(AF5),AF4,0)+IF(UPPER(AG50)=UPPER(AG5),AG4,0)+IF(UPPER(AH50)=UPPER(AH5),AH4,0)</f>
        <v>62</v>
      </c>
      <c r="E50" s="28" t="s">
        <v>43</v>
      </c>
      <c r="F50" s="28" t="s">
        <v>46</v>
      </c>
      <c r="G50" s="28" t="s">
        <v>43</v>
      </c>
      <c r="H50" s="28" t="s">
        <v>46</v>
      </c>
      <c r="I50" s="28" t="s">
        <v>44</v>
      </c>
      <c r="J50" s="28" t="s">
        <v>46</v>
      </c>
      <c r="K50" s="28" t="s">
        <v>46</v>
      </c>
      <c r="L50" s="28" t="s">
        <v>45</v>
      </c>
      <c r="M50" s="28" t="s">
        <v>44</v>
      </c>
      <c r="N50" s="28" t="s">
        <v>46</v>
      </c>
      <c r="O50" s="28" t="s">
        <v>46</v>
      </c>
      <c r="P50" s="28" t="s">
        <v>43</v>
      </c>
      <c r="Q50" s="28" t="s">
        <v>44</v>
      </c>
      <c r="R50" s="28" t="s">
        <v>46</v>
      </c>
      <c r="S50" s="28" t="s">
        <v>46</v>
      </c>
      <c r="T50" s="28" t="s">
        <v>44</v>
      </c>
      <c r="U50" s="28" t="s">
        <v>45</v>
      </c>
      <c r="V50" s="28" t="s">
        <v>43</v>
      </c>
      <c r="W50" s="28" t="s">
        <v>44</v>
      </c>
      <c r="X50" s="28" t="s">
        <v>45</v>
      </c>
      <c r="Y50" s="28" t="s">
        <v>45</v>
      </c>
      <c r="Z50" s="28" t="s">
        <v>43</v>
      </c>
      <c r="AA50" s="28" t="s">
        <v>43</v>
      </c>
      <c r="AB50" s="28" t="s">
        <v>46</v>
      </c>
      <c r="AC50" s="28" t="s">
        <v>45</v>
      </c>
      <c r="AD50" s="28" t="s">
        <v>43</v>
      </c>
      <c r="AE50" s="28" t="s">
        <v>44</v>
      </c>
      <c r="AF50" s="28" t="s">
        <v>46</v>
      </c>
      <c r="AG50" s="28" t="s">
        <v>45</v>
      </c>
      <c r="AH50" s="28" t="s">
        <v>44</v>
      </c>
    </row>
    <row r="51" ht="24.0" customHeight="1">
      <c r="A51" s="40">
        <v>2.024900806E9</v>
      </c>
      <c r="B51" s="42" t="s">
        <v>149</v>
      </c>
      <c r="C51" s="43" t="s">
        <v>150</v>
      </c>
      <c r="D51" s="15">
        <f>IF(UPPER(E51)=UPPER(E5),E4,0)+IF(UPPER(F51)=UPPER(F5),F4,0)+IF(UPPER(G51)=UPPER(G5),G4,0)+IF(UPPER(H51)=UPPER(H5),H4,0)+IF(UPPER(I51)=UPPER(I5),I4,0)+IF(UPPER(J51)=UPPER(J5),J4,0)+IF(UPPER(K51)=UPPER(K5),K4,0)+IF(UPPER(L51)=UPPER(L5),L4,0)+IF(UPPER(M51)=UPPER(M5),M4,0)+IF(UPPER(N51)=UPPER(N5),N4,0)+IF(UPPER(O51)=UPPER(O5),O4,0)+IF(UPPER(P51)=UPPER(P5),P4,0)+IF(UPPER(Q51)=UPPER(Q5),Q4,0)+IF(UPPER(R51)=UPPER(R5),R4,0)+IF(UPPER(S51)=UPPER(S5),S4,0)+IF(UPPER(T51)=UPPER(T5),T4,0)+IF(UPPER(U51)=UPPER(U5),U4,0)+IF(UPPER(V51)=UPPER(V5),V4,0)+IF(UPPER(W51)=UPPER(W5),W4,0)+IF(UPPER(X51)=UPPER(X5),X4,0)+IF(UPPER(Y51)=UPPER(Y5),Y4,0)+IF(UPPER(Z51)=UPPER(Z5),Z4,0)+IF(UPPER(AA51)=UPPER(AA5),AA4,0)+IF(UPPER(AB51)=UPPER(AB5),AB4,0)+IF(UPPER(AC51)=UPPER(AC5),AC4,0)+IF(UPPER(AD51)=UPPER(AD5),AD4,0)+IF(UPPER(AE51)=UPPER(AE5),AE4,0)+IF(UPPER(AF51)=UPPER(AF5),AF4,0)+IF(UPPER(AG51)=UPPER(AG5),AG4,0)+IF(UPPER(AH51)=UPPER(AH5),AH4,0)</f>
        <v>56</v>
      </c>
      <c r="E51" s="40" t="s">
        <v>46</v>
      </c>
      <c r="F51" s="40" t="s">
        <v>46</v>
      </c>
      <c r="G51" s="40" t="s">
        <v>43</v>
      </c>
      <c r="H51" s="40" t="s">
        <v>46</v>
      </c>
      <c r="I51" s="40" t="s">
        <v>44</v>
      </c>
      <c r="J51" s="40" t="s">
        <v>46</v>
      </c>
      <c r="K51" s="40" t="s">
        <v>46</v>
      </c>
      <c r="L51" s="40" t="s">
        <v>45</v>
      </c>
      <c r="M51" s="40" t="s">
        <v>45</v>
      </c>
      <c r="N51" s="40" t="s">
        <v>46</v>
      </c>
      <c r="O51" s="40" t="s">
        <v>45</v>
      </c>
      <c r="P51" s="40" t="s">
        <v>44</v>
      </c>
      <c r="Q51" s="40" t="s">
        <v>45</v>
      </c>
      <c r="R51" s="40" t="s">
        <v>43</v>
      </c>
      <c r="S51" s="40" t="s">
        <v>46</v>
      </c>
      <c r="T51" s="40" t="s">
        <v>44</v>
      </c>
      <c r="U51" s="40" t="s">
        <v>44</v>
      </c>
      <c r="V51" s="40" t="s">
        <v>43</v>
      </c>
      <c r="W51" s="40" t="s">
        <v>44</v>
      </c>
      <c r="X51" s="40" t="s">
        <v>46</v>
      </c>
      <c r="Y51" s="40" t="s">
        <v>46</v>
      </c>
      <c r="Z51" s="40" t="s">
        <v>43</v>
      </c>
      <c r="AA51" s="40" t="s">
        <v>44</v>
      </c>
      <c r="AB51" s="40" t="s">
        <v>46</v>
      </c>
      <c r="AC51" s="40" t="s">
        <v>43</v>
      </c>
      <c r="AD51" s="40" t="s">
        <v>46</v>
      </c>
      <c r="AE51" s="40" t="s">
        <v>44</v>
      </c>
      <c r="AF51" s="40" t="s">
        <v>46</v>
      </c>
      <c r="AG51" s="40" t="s">
        <v>45</v>
      </c>
      <c r="AH51" s="40" t="s">
        <v>44</v>
      </c>
    </row>
    <row r="52" ht="24.0" customHeight="1">
      <c r="A52" s="40">
        <v>2.024904083E9</v>
      </c>
      <c r="B52" s="41" t="s">
        <v>151</v>
      </c>
      <c r="C52" s="17" t="str">
        <f>IFERROR(__xludf.DUMMYFUNCTION("IFERROR(XLOOKUP(A52, IMPORTRANGE(""1dfbuNQ3U1XqtdPB70d4KK-T2neyc0ZV0mzl9Q33XU-4"", ""web!A:A""), IMPORTRANGE(""1dfbuNQ3U1XqtdPB70d4KK-T2neyc0ZV0mzl9Q33XU-4"", ""web!B:B"")), """")"),"刘子墨")</f>
        <v>刘子墨</v>
      </c>
      <c r="D52" s="17">
        <f>IF(UPPER(E52)=UPPER(E5),E4,0)+IF(UPPER(F52)=UPPER(F5),F4,0)+IF(UPPER(G52)=UPPER(G5),G4,0)+IF(UPPER(H52)=UPPER(H5),H4,0)+IF(UPPER(I52)=UPPER(I5),I4,0)+IF(UPPER(J52)=UPPER(J5),J4,0)+IF(UPPER(K52)=UPPER(K5),K4,0)+IF(UPPER(L52)=UPPER(L5),L4,0)+IF(UPPER(M52)=UPPER(M5),M4,0)+IF(UPPER(N52)=UPPER(N5),N4,0)+IF(UPPER(O52)=UPPER(O5),O4,0)+IF(UPPER(P52)=UPPER(P5),P4,0)+IF(UPPER(Q52)=UPPER(Q5),Q4,0)+IF(UPPER(R52)=UPPER(R5),R4,0)+IF(UPPER(S52)=UPPER(S5),S4,0)+IF(UPPER(T52)=UPPER(T5),T4,0)+IF(UPPER(U52)=UPPER(U5),U4,0)+IF(UPPER(V52)=UPPER(V5),V4,0)+IF(UPPER(W52)=UPPER(W5),W4,0)+IF(UPPER(X52)=UPPER(X5),X4,0)+IF(UPPER(Y52)=UPPER(Y5),Y4,0)+IF(UPPER(Z52)=UPPER(Z5),Z4,0)+IF(UPPER(AA52)=UPPER(AA5),AA4,0)+IF(UPPER(AB52)=UPPER(AB5),AB4,0)+IF(UPPER(AC52)=UPPER(AC5),AC4,0)+IF(UPPER(AD52)=UPPER(AD5),AD4,0)+IF(UPPER(AE52)=UPPER(AE5),AE4,0)+IF(UPPER(AF52)=UPPER(AF5),AF4,0)+IF(UPPER(AG52)=UPPER(AG5),AG4,0)+IF(UPPER(AH52)=UPPER(AH5),AH4,0)</f>
        <v>52</v>
      </c>
      <c r="E52" s="28" t="s">
        <v>44</v>
      </c>
      <c r="F52" s="28" t="s">
        <v>46</v>
      </c>
      <c r="G52" s="28" t="s">
        <v>46</v>
      </c>
      <c r="H52" s="28" t="s">
        <v>46</v>
      </c>
      <c r="I52" s="28" t="s">
        <v>44</v>
      </c>
      <c r="J52" s="28" t="s">
        <v>46</v>
      </c>
      <c r="K52" s="28" t="s">
        <v>45</v>
      </c>
      <c r="L52" s="28" t="s">
        <v>45</v>
      </c>
      <c r="M52" s="28" t="s">
        <v>44</v>
      </c>
      <c r="N52" s="28" t="s">
        <v>46</v>
      </c>
      <c r="O52" s="28" t="s">
        <v>45</v>
      </c>
      <c r="P52" s="28" t="s">
        <v>44</v>
      </c>
      <c r="Q52" s="28" t="s">
        <v>43</v>
      </c>
      <c r="R52" s="28" t="s">
        <v>43</v>
      </c>
      <c r="S52" s="28" t="s">
        <v>46</v>
      </c>
      <c r="T52" s="28" t="s">
        <v>44</v>
      </c>
      <c r="U52" s="28" t="s">
        <v>45</v>
      </c>
      <c r="V52" s="28" t="s">
        <v>46</v>
      </c>
      <c r="W52" s="28" t="s">
        <v>44</v>
      </c>
      <c r="X52" s="28" t="s">
        <v>45</v>
      </c>
      <c r="Y52" s="28" t="s">
        <v>44</v>
      </c>
      <c r="Z52" s="28" t="s">
        <v>46</v>
      </c>
      <c r="AA52" s="28" t="s">
        <v>44</v>
      </c>
      <c r="AB52" s="28" t="s">
        <v>46</v>
      </c>
      <c r="AC52" s="28" t="s">
        <v>43</v>
      </c>
      <c r="AD52" s="28" t="s">
        <v>46</v>
      </c>
      <c r="AE52" s="28" t="s">
        <v>44</v>
      </c>
      <c r="AF52" s="28" t="s">
        <v>46</v>
      </c>
      <c r="AG52" s="28" t="s">
        <v>45</v>
      </c>
      <c r="AH52" s="28" t="s">
        <v>44</v>
      </c>
    </row>
    <row r="53" ht="24.0" customHeight="1">
      <c r="A53" s="40">
        <v>2.024900594E9</v>
      </c>
      <c r="B53" s="42" t="s">
        <v>152</v>
      </c>
      <c r="C53" s="15" t="str">
        <f>IFERROR(__xludf.DUMMYFUNCTION("IFERROR(XLOOKUP(A53, IMPORTRANGE(""1dfbuNQ3U1XqtdPB70d4KK-T2neyc0ZV0mzl9Q33XU-4"", ""web!A:A""), IMPORTRANGE(""1dfbuNQ3U1XqtdPB70d4KK-T2neyc0ZV0mzl9Q33XU-4"", ""web!B:B"")), """")"),"陈苏豫")</f>
        <v>陈苏豫</v>
      </c>
      <c r="D53" s="15">
        <f>IF(UPPER(E53)=UPPER(E5),E4,0)+IF(UPPER(F53)=UPPER(F5),F4,0)+IF(UPPER(G53)=UPPER(G5),G4,0)+IF(UPPER(H53)=UPPER(H5),H4,0)+IF(UPPER(I53)=UPPER(I5),I4,0)+IF(UPPER(J53)=UPPER(J5),J4,0)+IF(UPPER(K53)=UPPER(K5),K4,0)+IF(UPPER(L53)=UPPER(L5),L4,0)+IF(UPPER(M53)=UPPER(M5),M4,0)+IF(UPPER(N53)=UPPER(N5),N4,0)+IF(UPPER(O53)=UPPER(O5),O4,0)+IF(UPPER(P53)=UPPER(P5),P4,0)+IF(UPPER(Q53)=UPPER(Q5),Q4,0)+IF(UPPER(R53)=UPPER(R5),R4,0)+IF(UPPER(S53)=UPPER(S5),S4,0)+IF(UPPER(T53)=UPPER(T5),T4,0)+IF(UPPER(U53)=UPPER(U5),U4,0)+IF(UPPER(V53)=UPPER(V5),V4,0)+IF(UPPER(W53)=UPPER(W5),W4,0)+IF(UPPER(X53)=UPPER(X5),X4,0)+IF(UPPER(Y53)=UPPER(Y5),Y4,0)+IF(UPPER(Z53)=UPPER(Z5),Z4,0)+IF(UPPER(AA53)=UPPER(AA5),AA4,0)+IF(UPPER(AB53)=UPPER(AB5),AB4,0)+IF(UPPER(AC53)=UPPER(AC5),AC4,0)+IF(UPPER(AD53)=UPPER(AD5),AD4,0)+IF(UPPER(AE53)=UPPER(AE5),AE4,0)+IF(UPPER(AF53)=UPPER(AF5),AF4,0)+IF(UPPER(AG53)=UPPER(AG5),AG4,0)+IF(UPPER(AH53)=UPPER(AH5),AH4,0)</f>
        <v>79</v>
      </c>
      <c r="E53" s="40" t="s">
        <v>46</v>
      </c>
      <c r="F53" s="40" t="s">
        <v>46</v>
      </c>
      <c r="G53" s="40" t="s">
        <v>43</v>
      </c>
      <c r="H53" s="40" t="s">
        <v>46</v>
      </c>
      <c r="I53" s="40" t="s">
        <v>44</v>
      </c>
      <c r="J53" s="40" t="s">
        <v>43</v>
      </c>
      <c r="K53" s="40" t="s">
        <v>46</v>
      </c>
      <c r="L53" s="40" t="s">
        <v>45</v>
      </c>
      <c r="M53" s="40" t="s">
        <v>44</v>
      </c>
      <c r="N53" s="40" t="s">
        <v>43</v>
      </c>
      <c r="O53" s="40" t="s">
        <v>46</v>
      </c>
      <c r="P53" s="40" t="s">
        <v>44</v>
      </c>
      <c r="Q53" s="40" t="s">
        <v>44</v>
      </c>
      <c r="R53" s="40" t="s">
        <v>43</v>
      </c>
      <c r="S53" s="40" t="s">
        <v>46</v>
      </c>
      <c r="T53" s="40" t="s">
        <v>44</v>
      </c>
      <c r="U53" s="40" t="s">
        <v>45</v>
      </c>
      <c r="V53" s="40" t="s">
        <v>43</v>
      </c>
      <c r="W53" s="40" t="s">
        <v>46</v>
      </c>
      <c r="X53" s="40" t="s">
        <v>46</v>
      </c>
      <c r="Y53" s="40" t="s">
        <v>45</v>
      </c>
      <c r="Z53" s="40" t="s">
        <v>43</v>
      </c>
      <c r="AA53" s="40" t="s">
        <v>44</v>
      </c>
      <c r="AB53" s="40" t="s">
        <v>46</v>
      </c>
      <c r="AC53" s="40" t="s">
        <v>45</v>
      </c>
      <c r="AD53" s="40" t="s">
        <v>45</v>
      </c>
      <c r="AE53" s="40" t="s">
        <v>44</v>
      </c>
      <c r="AF53" s="40" t="s">
        <v>46</v>
      </c>
      <c r="AG53" s="40" t="s">
        <v>45</v>
      </c>
      <c r="AH53" s="40" t="s">
        <v>44</v>
      </c>
    </row>
    <row r="54" ht="24.0" customHeight="1">
      <c r="A54" s="13">
        <v>2.024902589E9</v>
      </c>
      <c r="B54" s="41" t="s">
        <v>153</v>
      </c>
      <c r="C54" s="17" t="str">
        <f>IFERROR(__xludf.DUMMYFUNCTION("IFERROR(XLOOKUP(A54, IMPORTRANGE(""1dfbuNQ3U1XqtdPB70d4KK-T2neyc0ZV0mzl9Q33XU-4"", ""web!A:A""), IMPORTRANGE(""1dfbuNQ3U1XqtdPB70d4KK-T2neyc0ZV0mzl9Q33XU-4"", ""web!B:B"")), """")"),"廖奕龙")</f>
        <v>廖奕龙</v>
      </c>
      <c r="D54" s="17">
        <f>IF(UPPER(E54)=UPPER(E5),E4,0)+IF(UPPER(F54)=UPPER(F5),F4,0)+IF(UPPER(G54)=UPPER(G5),G4,0)+IF(UPPER(H54)=UPPER(H5),H4,0)+IF(UPPER(I54)=UPPER(I5),I4,0)+IF(UPPER(J54)=UPPER(J5),J4,0)+IF(UPPER(K54)=UPPER(K5),K4,0)+IF(UPPER(L54)=UPPER(L5),L4,0)+IF(UPPER(M54)=UPPER(M5),M4,0)+IF(UPPER(N54)=UPPER(N5),N4,0)+IF(UPPER(O54)=UPPER(O5),O4,0)+IF(UPPER(P54)=UPPER(P5),P4,0)+IF(UPPER(Q54)=UPPER(Q5),Q4,0)+IF(UPPER(R54)=UPPER(R5),R4,0)+IF(UPPER(S54)=UPPER(S5),S4,0)+IF(UPPER(T54)=UPPER(T5),T4,0)+IF(UPPER(U54)=UPPER(U5),U4,0)+IF(UPPER(V54)=UPPER(V5),V4,0)+IF(UPPER(W54)=UPPER(W5),W4,0)+IF(UPPER(X54)=UPPER(X5),X4,0)+IF(UPPER(Y54)=UPPER(Y5),Y4,0)+IF(UPPER(Z54)=UPPER(Z5),Z4,0)+IF(UPPER(AA54)=UPPER(AA5),AA4,0)+IF(UPPER(AB54)=UPPER(AB5),AB4,0)+IF(UPPER(AC54)=UPPER(AC5),AC4,0)+IF(UPPER(AD54)=UPPER(AD5),AD4,0)+IF(UPPER(AE54)=UPPER(AE5),AE4,0)+IF(UPPER(AF54)=UPPER(AF5),AF4,0)+IF(UPPER(AG54)=UPPER(AG5),AG4,0)+IF(UPPER(AH54)=UPPER(AH5),AH4,0)</f>
        <v>77</v>
      </c>
      <c r="E54" s="28" t="s">
        <v>46</v>
      </c>
      <c r="F54" s="28" t="s">
        <v>46</v>
      </c>
      <c r="G54" s="28" t="s">
        <v>43</v>
      </c>
      <c r="H54" s="28" t="s">
        <v>46</v>
      </c>
      <c r="I54" s="28" t="s">
        <v>44</v>
      </c>
      <c r="J54" s="28" t="s">
        <v>43</v>
      </c>
      <c r="K54" s="28" t="s">
        <v>46</v>
      </c>
      <c r="L54" s="28" t="s">
        <v>45</v>
      </c>
      <c r="M54" s="28" t="s">
        <v>44</v>
      </c>
      <c r="N54" s="28" t="s">
        <v>46</v>
      </c>
      <c r="O54" s="28" t="s">
        <v>44</v>
      </c>
      <c r="P54" s="28" t="s">
        <v>46</v>
      </c>
      <c r="Q54" s="28" t="s">
        <v>44</v>
      </c>
      <c r="R54" s="28" t="s">
        <v>43</v>
      </c>
      <c r="S54" s="28" t="s">
        <v>46</v>
      </c>
      <c r="T54" s="28" t="s">
        <v>44</v>
      </c>
      <c r="U54" s="28" t="s">
        <v>45</v>
      </c>
      <c r="V54" s="28" t="s">
        <v>43</v>
      </c>
      <c r="W54" s="28" t="s">
        <v>44</v>
      </c>
      <c r="X54" s="28" t="s">
        <v>44</v>
      </c>
      <c r="Y54" s="28" t="s">
        <v>45</v>
      </c>
      <c r="Z54" s="28" t="s">
        <v>43</v>
      </c>
      <c r="AA54" s="28" t="s">
        <v>44</v>
      </c>
      <c r="AB54" s="28" t="s">
        <v>46</v>
      </c>
      <c r="AC54" s="28" t="s">
        <v>45</v>
      </c>
      <c r="AD54" s="28" t="s">
        <v>43</v>
      </c>
      <c r="AE54" s="28" t="s">
        <v>44</v>
      </c>
      <c r="AF54" s="28" t="s">
        <v>46</v>
      </c>
      <c r="AG54" s="28" t="s">
        <v>45</v>
      </c>
      <c r="AH54" s="28" t="s">
        <v>43</v>
      </c>
    </row>
    <row r="55" ht="24.0" customHeight="1">
      <c r="A55" s="44">
        <v>2.023905494E9</v>
      </c>
      <c r="B55" s="45" t="s">
        <v>154</v>
      </c>
      <c r="C55" s="33" t="s">
        <v>150</v>
      </c>
      <c r="D55" s="17">
        <f>IF(UPPER(E55)=UPPER(E5),E4,0)+IF(UPPER(F55)=UPPER(F5),F4,0)+IF(UPPER(G55)=UPPER(G5),G4,0)+IF(UPPER(H55)=UPPER(H5),H4,0)+IF(UPPER(I55)=UPPER(I5),I4,0)+IF(UPPER(J55)=UPPER(J5),J4,0)+IF(UPPER(K55)=UPPER(K5),K4,0)+IF(UPPER(L55)=UPPER(L5),L4,0)+IF(UPPER(M55)=UPPER(M5),M4,0)+IF(UPPER(N55)=UPPER(N5),N4,0)+IF(UPPER(O55)=UPPER(O5),O4,0)+IF(UPPER(P55)=UPPER(P5),P4,0)+IF(UPPER(Q55)=UPPER(Q5),Q4,0)+IF(UPPER(R55)=UPPER(R5),R4,0)+IF(UPPER(S55)=UPPER(S5),S4,0)+IF(UPPER(T55)=UPPER(T5),T4,0)+IF(UPPER(U55)=UPPER(U5),U4,0)+IF(UPPER(V55)=UPPER(V5),V4,0)+IF(UPPER(W55)=UPPER(W5),W4,0)+IF(UPPER(X55)=UPPER(X5),X4,0)+IF(UPPER(Y55)=UPPER(Y5),Y4,0)+IF(UPPER(Z55)=UPPER(Z5),Z4,0)+IF(UPPER(AA55)=UPPER(AA5),AA4,0)+IF(UPPER(AB55)=UPPER(AB5),AB4,0)+IF(UPPER(AC55)=UPPER(AC5),AC4,0)+IF(UPPER(AD55)=UPPER(AD5),AD4,0)+IF(UPPER(AE55)=UPPER(AE5),AE4,0)+IF(UPPER(AF55)=UPPER(AF5),AF4,0)+IF(UPPER(AG55)=UPPER(AG5),AG4,0)+IF(UPPER(AH55)=UPPER(AH5),AH4,0)</f>
        <v>40</v>
      </c>
      <c r="E55" s="28" t="s">
        <v>46</v>
      </c>
      <c r="F55" s="28" t="s">
        <v>46</v>
      </c>
      <c r="G55" s="28" t="s">
        <v>46</v>
      </c>
      <c r="H55" s="28" t="s">
        <v>45</v>
      </c>
      <c r="I55" s="28" t="s">
        <v>46</v>
      </c>
      <c r="J55" s="28" t="s">
        <v>46</v>
      </c>
      <c r="K55" s="28" t="s">
        <v>46</v>
      </c>
      <c r="L55" s="28" t="s">
        <v>45</v>
      </c>
      <c r="M55" s="28" t="s">
        <v>44</v>
      </c>
      <c r="N55" s="28" t="s">
        <v>43</v>
      </c>
      <c r="O55" s="28" t="s">
        <v>43</v>
      </c>
      <c r="P55" s="28" t="s">
        <v>44</v>
      </c>
      <c r="Q55" s="28" t="s">
        <v>46</v>
      </c>
      <c r="R55" s="28" t="s">
        <v>46</v>
      </c>
      <c r="S55" s="28" t="s">
        <v>44</v>
      </c>
      <c r="T55" s="28" t="s">
        <v>43</v>
      </c>
      <c r="U55" s="28" t="s">
        <v>46</v>
      </c>
      <c r="V55" s="28" t="s">
        <v>43</v>
      </c>
      <c r="W55" s="28" t="s">
        <v>46</v>
      </c>
      <c r="X55" s="28" t="s">
        <v>43</v>
      </c>
      <c r="Y55" s="28" t="s">
        <v>46</v>
      </c>
      <c r="Z55" s="28" t="s">
        <v>43</v>
      </c>
      <c r="AA55" s="28" t="s">
        <v>43</v>
      </c>
      <c r="AB55" s="28" t="s">
        <v>46</v>
      </c>
      <c r="AC55" s="28" t="s">
        <v>45</v>
      </c>
      <c r="AD55" s="28" t="s">
        <v>44</v>
      </c>
      <c r="AE55" s="28" t="s">
        <v>43</v>
      </c>
      <c r="AF55" s="28" t="s">
        <v>44</v>
      </c>
      <c r="AG55" s="28" t="s">
        <v>43</v>
      </c>
      <c r="AH55" s="28" t="s">
        <v>43</v>
      </c>
    </row>
    <row r="56" ht="15.75" customHeight="1"/>
    <row r="57" ht="24.0" customHeight="1">
      <c r="A57" s="34" t="s">
        <v>100</v>
      </c>
      <c r="B57" s="35"/>
      <c r="C57" s="36"/>
      <c r="D57" s="36">
        <f>IF(COUNTA(A6:A54)&gt;0,AVERAGEIF(D6:D54,"&lt;&gt;0"),"")</f>
        <v>66.83673469</v>
      </c>
      <c r="E57" s="37">
        <f t="shared" ref="E57:AH57" si="1">IF(COUNTA(E6:E54)&gt;0,COUNTIF(E6:E54,E5)/COUNTA(E6:E54),"")</f>
        <v>0.7142857143</v>
      </c>
      <c r="F57" s="37">
        <f t="shared" si="1"/>
        <v>0.9387755102</v>
      </c>
      <c r="G57" s="37">
        <f t="shared" si="1"/>
        <v>0.306122449</v>
      </c>
      <c r="H57" s="37">
        <f t="shared" si="1"/>
        <v>0.8367346939</v>
      </c>
      <c r="I57" s="37">
        <f t="shared" si="1"/>
        <v>0.9183673469</v>
      </c>
      <c r="J57" s="37">
        <f t="shared" si="1"/>
        <v>0.4489795918</v>
      </c>
      <c r="K57" s="37">
        <f t="shared" si="1"/>
        <v>0.8775510204</v>
      </c>
      <c r="L57" s="37">
        <f t="shared" si="1"/>
        <v>0.8367346939</v>
      </c>
      <c r="M57" s="37">
        <f t="shared" si="1"/>
        <v>0.7755102041</v>
      </c>
      <c r="N57" s="37">
        <f t="shared" si="1"/>
        <v>0.5306122449</v>
      </c>
      <c r="O57" s="37">
        <f t="shared" si="1"/>
        <v>0.4693877551</v>
      </c>
      <c r="P57" s="37">
        <f t="shared" si="1"/>
        <v>0.5714285714</v>
      </c>
      <c r="Q57" s="37">
        <f t="shared" si="1"/>
        <v>0.612244898</v>
      </c>
      <c r="R57" s="37">
        <f t="shared" si="1"/>
        <v>0.7142857143</v>
      </c>
      <c r="S57" s="37">
        <f t="shared" si="1"/>
        <v>0.9183673469</v>
      </c>
      <c r="T57" s="37">
        <f t="shared" si="1"/>
        <v>0.5306122449</v>
      </c>
      <c r="U57" s="37">
        <f t="shared" si="1"/>
        <v>0.5306122449</v>
      </c>
      <c r="V57" s="37">
        <f t="shared" si="1"/>
        <v>0.7959183673</v>
      </c>
      <c r="W57" s="37">
        <f t="shared" si="1"/>
        <v>0.5918367347</v>
      </c>
      <c r="X57" s="37">
        <f t="shared" si="1"/>
        <v>0.3469387755</v>
      </c>
      <c r="Y57" s="37">
        <f t="shared" si="1"/>
        <v>0.7346938776</v>
      </c>
      <c r="Z57" s="37">
        <f t="shared" si="1"/>
        <v>0.7142857143</v>
      </c>
      <c r="AA57" s="37">
        <f t="shared" si="1"/>
        <v>0.8367346939</v>
      </c>
      <c r="AB57" s="37">
        <f t="shared" si="1"/>
        <v>0.8979591837</v>
      </c>
      <c r="AC57" s="37">
        <f t="shared" si="1"/>
        <v>0.4693877551</v>
      </c>
      <c r="AD57" s="37">
        <f t="shared" si="1"/>
        <v>0.5102040816</v>
      </c>
      <c r="AE57" s="37">
        <f t="shared" si="1"/>
        <v>0.9183673469</v>
      </c>
      <c r="AF57" s="37">
        <f t="shared" si="1"/>
        <v>0.8367346939</v>
      </c>
      <c r="AG57" s="37">
        <f t="shared" si="1"/>
        <v>0.6734693878</v>
      </c>
      <c r="AH57" s="37">
        <f t="shared" si="1"/>
        <v>0.4489795918</v>
      </c>
    </row>
    <row r="58" ht="24.0" customHeight="1">
      <c r="A58" s="38" t="s">
        <v>101</v>
      </c>
      <c r="B58" s="35"/>
      <c r="C58" s="39"/>
      <c r="D58" s="39">
        <f>IF(COUNTA(D6:D54)&gt;0,MAX(D6:D54),"")</f>
        <v>86</v>
      </c>
    </row>
    <row r="59" ht="24.0" customHeight="1">
      <c r="A59" s="38" t="s">
        <v>102</v>
      </c>
      <c r="B59" s="35"/>
      <c r="C59" s="39"/>
      <c r="D59" s="39">
        <f>IF(COUNTA(D6:D54)&gt;0,MIN(D6:D54),"")</f>
        <v>44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H1"/>
    <mergeCell ref="A2:AH2"/>
    <mergeCell ref="A57:B57"/>
    <mergeCell ref="A58:B58"/>
    <mergeCell ref="A59:B59"/>
  </mergeCells>
  <conditionalFormatting sqref="E55">
    <cfRule type="expression" dxfId="3" priority="1">
      <formula>AND(E55&lt;&gt;"",UPPER(E55)&lt;&gt;UPPER(E48))</formula>
    </cfRule>
  </conditionalFormatting>
  <conditionalFormatting sqref="E55">
    <cfRule type="expression" dxfId="2" priority="2">
      <formula>AND(E55&lt;&gt;"",UPPER(E55)=UPPER(E48))</formula>
    </cfRule>
  </conditionalFormatting>
  <conditionalFormatting sqref="F55">
    <cfRule type="expression" dxfId="3" priority="3">
      <formula>AND(F55&lt;&gt;"",UPPER(F55)&lt;&gt;UPPER(F48))</formula>
    </cfRule>
  </conditionalFormatting>
  <conditionalFormatting sqref="F55">
    <cfRule type="expression" dxfId="2" priority="4">
      <formula>AND(F55&lt;&gt;"",UPPER(F55)=UPPER(F48))</formula>
    </cfRule>
  </conditionalFormatting>
  <conditionalFormatting sqref="G55">
    <cfRule type="expression" dxfId="3" priority="5">
      <formula>AND(G55&lt;&gt;"",UPPER(G55)&lt;&gt;UPPER(G48))</formula>
    </cfRule>
  </conditionalFormatting>
  <conditionalFormatting sqref="G55">
    <cfRule type="expression" dxfId="2" priority="6">
      <formula>AND(G55&lt;&gt;"",UPPER(G55)=UPPER(G48))</formula>
    </cfRule>
  </conditionalFormatting>
  <conditionalFormatting sqref="H55">
    <cfRule type="expression" dxfId="3" priority="7">
      <formula>AND(H55&lt;&gt;"",UPPER(H55)&lt;&gt;UPPER(H48))</formula>
    </cfRule>
  </conditionalFormatting>
  <conditionalFormatting sqref="H55">
    <cfRule type="expression" dxfId="2" priority="8">
      <formula>AND(H55&lt;&gt;"",UPPER(H55)=UPPER(H48))</formula>
    </cfRule>
  </conditionalFormatting>
  <conditionalFormatting sqref="I55">
    <cfRule type="expression" dxfId="3" priority="9">
      <formula>AND(I55&lt;&gt;"",UPPER(I55)&lt;&gt;UPPER(I48))</formula>
    </cfRule>
  </conditionalFormatting>
  <conditionalFormatting sqref="I55">
    <cfRule type="expression" dxfId="2" priority="10">
      <formula>AND(I55&lt;&gt;"",UPPER(I55)=UPPER(I48))</formula>
    </cfRule>
  </conditionalFormatting>
  <conditionalFormatting sqref="J55">
    <cfRule type="expression" dxfId="3" priority="11">
      <formula>AND(J55&lt;&gt;"",UPPER(J55)&lt;&gt;UPPER(J48))</formula>
    </cfRule>
  </conditionalFormatting>
  <conditionalFormatting sqref="J55">
    <cfRule type="expression" dxfId="2" priority="12">
      <formula>AND(J55&lt;&gt;"",UPPER(J55)=UPPER(J48))</formula>
    </cfRule>
  </conditionalFormatting>
  <conditionalFormatting sqref="K55">
    <cfRule type="expression" dxfId="3" priority="13">
      <formula>AND(K55&lt;&gt;"",UPPER(K55)&lt;&gt;UPPER(K48))</formula>
    </cfRule>
  </conditionalFormatting>
  <conditionalFormatting sqref="K55">
    <cfRule type="expression" dxfId="2" priority="14">
      <formula>AND(K55&lt;&gt;"",UPPER(K55)=UPPER(K48))</formula>
    </cfRule>
  </conditionalFormatting>
  <conditionalFormatting sqref="L55">
    <cfRule type="expression" dxfId="3" priority="15">
      <formula>AND(L55&lt;&gt;"",UPPER(L55)&lt;&gt;UPPER(L48))</formula>
    </cfRule>
  </conditionalFormatting>
  <conditionalFormatting sqref="L55">
    <cfRule type="expression" dxfId="2" priority="16">
      <formula>AND(L55&lt;&gt;"",UPPER(L55)=UPPER(L48))</formula>
    </cfRule>
  </conditionalFormatting>
  <conditionalFormatting sqref="M55">
    <cfRule type="expression" dxfId="3" priority="17">
      <formula>AND(M55&lt;&gt;"",UPPER(M55)&lt;&gt;UPPER(M48))</formula>
    </cfRule>
  </conditionalFormatting>
  <conditionalFormatting sqref="M55">
    <cfRule type="expression" dxfId="2" priority="18">
      <formula>AND(M55&lt;&gt;"",UPPER(M55)=UPPER(M48))</formula>
    </cfRule>
  </conditionalFormatting>
  <conditionalFormatting sqref="N55">
    <cfRule type="expression" dxfId="3" priority="19">
      <formula>AND(N55&lt;&gt;"",UPPER(N55)&lt;&gt;UPPER(N48))</formula>
    </cfRule>
  </conditionalFormatting>
  <conditionalFormatting sqref="N55">
    <cfRule type="expression" dxfId="2" priority="20">
      <formula>AND(N55&lt;&gt;"",UPPER(N55)=UPPER(N48))</formula>
    </cfRule>
  </conditionalFormatting>
  <conditionalFormatting sqref="O55">
    <cfRule type="expression" dxfId="3" priority="21">
      <formula>AND(O55&lt;&gt;"",UPPER(O55)&lt;&gt;UPPER(O48))</formula>
    </cfRule>
  </conditionalFormatting>
  <conditionalFormatting sqref="O55">
    <cfRule type="expression" dxfId="2" priority="22">
      <formula>AND(O55&lt;&gt;"",UPPER(O55)=UPPER(O48))</formula>
    </cfRule>
  </conditionalFormatting>
  <conditionalFormatting sqref="P55">
    <cfRule type="expression" dxfId="3" priority="23">
      <formula>AND(P55&lt;&gt;"",UPPER(P55)&lt;&gt;UPPER(P48))</formula>
    </cfRule>
  </conditionalFormatting>
  <conditionalFormatting sqref="P55">
    <cfRule type="expression" dxfId="2" priority="24">
      <formula>AND(P55&lt;&gt;"",UPPER(P55)=UPPER(P48))</formula>
    </cfRule>
  </conditionalFormatting>
  <conditionalFormatting sqref="Q55">
    <cfRule type="expression" dxfId="3" priority="25">
      <formula>AND(Q55&lt;&gt;"",UPPER(Q55)&lt;&gt;UPPER(Q48))</formula>
    </cfRule>
  </conditionalFormatting>
  <conditionalFormatting sqref="Q55">
    <cfRule type="expression" dxfId="2" priority="26">
      <formula>AND(Q55&lt;&gt;"",UPPER(Q55)=UPPER(Q48))</formula>
    </cfRule>
  </conditionalFormatting>
  <conditionalFormatting sqref="R55">
    <cfRule type="expression" dxfId="3" priority="27">
      <formula>AND(R55&lt;&gt;"",UPPER(R55)&lt;&gt;UPPER(R48))</formula>
    </cfRule>
  </conditionalFormatting>
  <conditionalFormatting sqref="R55">
    <cfRule type="expression" dxfId="2" priority="28">
      <formula>AND(R55&lt;&gt;"",UPPER(R55)=UPPER(R48))</formula>
    </cfRule>
  </conditionalFormatting>
  <conditionalFormatting sqref="S55">
    <cfRule type="expression" dxfId="3" priority="29">
      <formula>AND(S55&lt;&gt;"",UPPER(S55)&lt;&gt;UPPER(S48))</formula>
    </cfRule>
  </conditionalFormatting>
  <conditionalFormatting sqref="S55">
    <cfRule type="expression" dxfId="2" priority="30">
      <formula>AND(S55&lt;&gt;"",UPPER(S55)=UPPER(S48))</formula>
    </cfRule>
  </conditionalFormatting>
  <conditionalFormatting sqref="T55">
    <cfRule type="expression" dxfId="3" priority="31">
      <formula>AND(T55&lt;&gt;"",UPPER(T55)&lt;&gt;UPPER(T48))</formula>
    </cfRule>
  </conditionalFormatting>
  <conditionalFormatting sqref="T55">
    <cfRule type="expression" dxfId="2" priority="32">
      <formula>AND(T55&lt;&gt;"",UPPER(T55)=UPPER(T48))</formula>
    </cfRule>
  </conditionalFormatting>
  <conditionalFormatting sqref="U55">
    <cfRule type="expression" dxfId="3" priority="33">
      <formula>AND(U55&lt;&gt;"",UPPER(U55)&lt;&gt;UPPER(U48))</formula>
    </cfRule>
  </conditionalFormatting>
  <conditionalFormatting sqref="U55">
    <cfRule type="expression" dxfId="2" priority="34">
      <formula>AND(U55&lt;&gt;"",UPPER(U55)=UPPER(U48))</formula>
    </cfRule>
  </conditionalFormatting>
  <conditionalFormatting sqref="V55">
    <cfRule type="expression" dxfId="3" priority="35">
      <formula>AND(V55&lt;&gt;"",UPPER(V55)&lt;&gt;UPPER(V48))</formula>
    </cfRule>
  </conditionalFormatting>
  <conditionalFormatting sqref="V55">
    <cfRule type="expression" dxfId="2" priority="36">
      <formula>AND(V55&lt;&gt;"",UPPER(V55)=UPPER(V48))</formula>
    </cfRule>
  </conditionalFormatting>
  <conditionalFormatting sqref="W55">
    <cfRule type="expression" dxfId="3" priority="37">
      <formula>AND(W55&lt;&gt;"",UPPER(W55)&lt;&gt;UPPER(W48))</formula>
    </cfRule>
  </conditionalFormatting>
  <conditionalFormatting sqref="W55">
    <cfRule type="expression" dxfId="2" priority="38">
      <formula>AND(W55&lt;&gt;"",UPPER(W55)=UPPER(W48))</formula>
    </cfRule>
  </conditionalFormatting>
  <conditionalFormatting sqref="X55">
    <cfRule type="expression" dxfId="3" priority="39">
      <formula>AND(X55&lt;&gt;"",UPPER(X55)&lt;&gt;UPPER(X48))</formula>
    </cfRule>
  </conditionalFormatting>
  <conditionalFormatting sqref="X55">
    <cfRule type="expression" dxfId="2" priority="40">
      <formula>AND(X55&lt;&gt;"",UPPER(X55)=UPPER(X48))</formula>
    </cfRule>
  </conditionalFormatting>
  <conditionalFormatting sqref="Y55">
    <cfRule type="expression" dxfId="3" priority="41">
      <formula>AND(Y55&lt;&gt;"",UPPER(Y55)&lt;&gt;UPPER(Y48))</formula>
    </cfRule>
  </conditionalFormatting>
  <conditionalFormatting sqref="Y55">
    <cfRule type="expression" dxfId="2" priority="42">
      <formula>AND(Y55&lt;&gt;"",UPPER(Y55)=UPPER(Y48))</formula>
    </cfRule>
  </conditionalFormatting>
  <conditionalFormatting sqref="AG55">
    <cfRule type="expression" dxfId="3" priority="43">
      <formula>AND(AG55&lt;&gt;"",UPPER(AG55)&lt;&gt;UPPER(AG48))</formula>
    </cfRule>
  </conditionalFormatting>
  <conditionalFormatting sqref="AG55">
    <cfRule type="expression" dxfId="2" priority="44">
      <formula>AND(AG55&lt;&gt;"",UPPER(AG55)=UPPER(AG48))</formula>
    </cfRule>
  </conditionalFormatting>
  <conditionalFormatting sqref="AH55">
    <cfRule type="expression" dxfId="3" priority="45">
      <formula>AND(AH55&lt;&gt;"",UPPER(AH55)&lt;&gt;UPPER(AH48))</formula>
    </cfRule>
  </conditionalFormatting>
  <conditionalFormatting sqref="AH55">
    <cfRule type="expression" dxfId="2" priority="46">
      <formula>AND(AH55&lt;&gt;"",UPPER(AH55)=UPPER(AH48))</formula>
    </cfRule>
  </conditionalFormatting>
  <conditionalFormatting sqref="Z55">
    <cfRule type="expression" dxfId="3" priority="47">
      <formula>AND(Z55&lt;&gt;"",UPPER(Z55)&lt;&gt;UPPER(Z48))</formula>
    </cfRule>
  </conditionalFormatting>
  <conditionalFormatting sqref="Z55">
    <cfRule type="expression" dxfId="2" priority="48">
      <formula>AND(Z55&lt;&gt;"",UPPER(Z55)=UPPER(Z48))</formula>
    </cfRule>
  </conditionalFormatting>
  <conditionalFormatting sqref="AA55">
    <cfRule type="expression" dxfId="3" priority="49">
      <formula>AND(AA55&lt;&gt;"",UPPER(AA55)&lt;&gt;UPPER(AA48))</formula>
    </cfRule>
  </conditionalFormatting>
  <conditionalFormatting sqref="AA55">
    <cfRule type="expression" dxfId="2" priority="50">
      <formula>AND(AA55&lt;&gt;"",UPPER(AA55)=UPPER(AA48))</formula>
    </cfRule>
  </conditionalFormatting>
  <conditionalFormatting sqref="AB55">
    <cfRule type="expression" dxfId="3" priority="51">
      <formula>AND(AB55&lt;&gt;"",UPPER(AB55)&lt;&gt;UPPER(AB48))</formula>
    </cfRule>
  </conditionalFormatting>
  <conditionalFormatting sqref="AB55">
    <cfRule type="expression" dxfId="2" priority="52">
      <formula>AND(AB55&lt;&gt;"",UPPER(AB55)=UPPER(AB48))</formula>
    </cfRule>
  </conditionalFormatting>
  <conditionalFormatting sqref="AC55">
    <cfRule type="expression" dxfId="3" priority="53">
      <formula>AND(AC55&lt;&gt;"",UPPER(AC55)&lt;&gt;UPPER(AC48))</formula>
    </cfRule>
  </conditionalFormatting>
  <conditionalFormatting sqref="AC55">
    <cfRule type="expression" dxfId="2" priority="54">
      <formula>AND(AC55&lt;&gt;"",UPPER(AC55)=UPPER(AC48))</formula>
    </cfRule>
  </conditionalFormatting>
  <conditionalFormatting sqref="AD55">
    <cfRule type="expression" dxfId="3" priority="55">
      <formula>AND(AD55&lt;&gt;"",UPPER(AD55)&lt;&gt;UPPER(AD48))</formula>
    </cfRule>
  </conditionalFormatting>
  <conditionalFormatting sqref="AD55">
    <cfRule type="expression" dxfId="2" priority="56">
      <formula>AND(AD55&lt;&gt;"",UPPER(AD55)=UPPER(AD48))</formula>
    </cfRule>
  </conditionalFormatting>
  <conditionalFormatting sqref="AE55">
    <cfRule type="expression" dxfId="3" priority="57">
      <formula>AND(AE55&lt;&gt;"",UPPER(AE55)&lt;&gt;UPPER(AE48))</formula>
    </cfRule>
  </conditionalFormatting>
  <conditionalFormatting sqref="AE55">
    <cfRule type="expression" dxfId="2" priority="58">
      <formula>AND(AE55&lt;&gt;"",UPPER(AE55)=UPPER(AE48))</formula>
    </cfRule>
  </conditionalFormatting>
  <conditionalFormatting sqref="AF55">
    <cfRule type="expression" dxfId="3" priority="59">
      <formula>AND(AF55&lt;&gt;"",UPPER(AF55)&lt;&gt;UPPER(AF48))</formula>
    </cfRule>
  </conditionalFormatting>
  <conditionalFormatting sqref="AF55">
    <cfRule type="expression" dxfId="2" priority="60">
      <formula>AND(AF55&lt;&gt;"",UPPER(AF55)=UPPER(AF48))</formula>
    </cfRule>
  </conditionalFormatting>
  <conditionalFormatting sqref="E6:AH55">
    <cfRule type="expression" dxfId="0" priority="61" stopIfTrue="1">
      <formula>E6=E$5</formula>
    </cfRule>
  </conditionalFormatting>
  <conditionalFormatting sqref="E6:AH55">
    <cfRule type="expression" dxfId="1" priority="62" stopIfTrue="1">
      <formula>AND(E6&lt;&gt;"", E6&lt;&gt;E$5)</formula>
    </cfRule>
  </conditionalFormatting>
  <conditionalFormatting sqref="E6:AH55">
    <cfRule type="expression" dxfId="4" priority="63" stopIfTrue="1">
      <formula>AND(E6&lt;&gt;"", E6&lt;&gt;E$5)</formula>
    </cfRule>
  </conditionalFormatting>
  <conditionalFormatting sqref="E6:AH55">
    <cfRule type="expression" dxfId="5" priority="64" stopIfTrue="1">
      <formula>E6=E$5</formula>
    </cfRule>
  </conditionalFormatting>
  <conditionalFormatting sqref="E6:E54">
    <cfRule type="expression" dxfId="2" priority="65">
      <formula>AND(E6&lt;&gt;"",UPPER(E6)=UPPER(E5))</formula>
    </cfRule>
  </conditionalFormatting>
  <conditionalFormatting sqref="E6:E54">
    <cfRule type="expression" dxfId="3" priority="66">
      <formula>AND(E6&lt;&gt;"",UPPER(E6)&lt;&gt;UPPER(E5))</formula>
    </cfRule>
  </conditionalFormatting>
  <conditionalFormatting sqref="F6:F54">
    <cfRule type="expression" dxfId="2" priority="67">
      <formula>AND(F6&lt;&gt;"",UPPER(F6)=UPPER(F5))</formula>
    </cfRule>
  </conditionalFormatting>
  <conditionalFormatting sqref="F6:F54">
    <cfRule type="expression" dxfId="3" priority="68">
      <formula>AND(F6&lt;&gt;"",UPPER(F6)&lt;&gt;UPPER(F5))</formula>
    </cfRule>
  </conditionalFormatting>
  <conditionalFormatting sqref="G6:G54">
    <cfRule type="expression" dxfId="2" priority="69">
      <formula>AND(G6&lt;&gt;"",UPPER(G6)=UPPER(G5))</formula>
    </cfRule>
  </conditionalFormatting>
  <conditionalFormatting sqref="G6:G54">
    <cfRule type="expression" dxfId="3" priority="70">
      <formula>AND(G6&lt;&gt;"",UPPER(G6)&lt;&gt;UPPER(G5))</formula>
    </cfRule>
  </conditionalFormatting>
  <conditionalFormatting sqref="H6:H54">
    <cfRule type="expression" dxfId="2" priority="71">
      <formula>AND(H6&lt;&gt;"",UPPER(H6)=UPPER(H5))</formula>
    </cfRule>
  </conditionalFormatting>
  <conditionalFormatting sqref="H6:H54">
    <cfRule type="expression" dxfId="3" priority="72">
      <formula>AND(H6&lt;&gt;"",UPPER(H6)&lt;&gt;UPPER(H5))</formula>
    </cfRule>
  </conditionalFormatting>
  <conditionalFormatting sqref="I6:I54">
    <cfRule type="expression" dxfId="2" priority="73">
      <formula>AND(I6&lt;&gt;"",UPPER(I6)=UPPER(I5))</formula>
    </cfRule>
  </conditionalFormatting>
  <conditionalFormatting sqref="I6:I54">
    <cfRule type="expression" dxfId="3" priority="74">
      <formula>AND(I6&lt;&gt;"",UPPER(I6)&lt;&gt;UPPER(I5))</formula>
    </cfRule>
  </conditionalFormatting>
  <conditionalFormatting sqref="J6:J54">
    <cfRule type="expression" dxfId="2" priority="75">
      <formula>AND(J6&lt;&gt;"",UPPER(J6)=UPPER(J5))</formula>
    </cfRule>
  </conditionalFormatting>
  <conditionalFormatting sqref="J6:J54">
    <cfRule type="expression" dxfId="3" priority="76">
      <formula>AND(J6&lt;&gt;"",UPPER(J6)&lt;&gt;UPPER(J5))</formula>
    </cfRule>
  </conditionalFormatting>
  <conditionalFormatting sqref="K6:K54">
    <cfRule type="expression" dxfId="2" priority="77">
      <formula>AND(K6&lt;&gt;"",UPPER(K6)=UPPER(K5))</formula>
    </cfRule>
  </conditionalFormatting>
  <conditionalFormatting sqref="K6:K54">
    <cfRule type="expression" dxfId="3" priority="78">
      <formula>AND(K6&lt;&gt;"",UPPER(K6)&lt;&gt;UPPER(K5))</formula>
    </cfRule>
  </conditionalFormatting>
  <conditionalFormatting sqref="L6:L54">
    <cfRule type="expression" dxfId="2" priority="79">
      <formula>AND(L6&lt;&gt;"",UPPER(L6)=UPPER(L5))</formula>
    </cfRule>
  </conditionalFormatting>
  <conditionalFormatting sqref="L6:L54">
    <cfRule type="expression" dxfId="3" priority="80">
      <formula>AND(L6&lt;&gt;"",UPPER(L6)&lt;&gt;UPPER(L5))</formula>
    </cfRule>
  </conditionalFormatting>
  <conditionalFormatting sqref="M6:M54">
    <cfRule type="expression" dxfId="2" priority="81">
      <formula>AND(M6&lt;&gt;"",UPPER(M6)=UPPER(M5))</formula>
    </cfRule>
  </conditionalFormatting>
  <conditionalFormatting sqref="M6:M54">
    <cfRule type="expression" dxfId="3" priority="82">
      <formula>AND(M6&lt;&gt;"",UPPER(M6)&lt;&gt;UPPER(M5))</formula>
    </cfRule>
  </conditionalFormatting>
  <conditionalFormatting sqref="N6:N54">
    <cfRule type="expression" dxfId="2" priority="83">
      <formula>AND(N6&lt;&gt;"",UPPER(N6)=UPPER(N5))</formula>
    </cfRule>
  </conditionalFormatting>
  <conditionalFormatting sqref="N6:N54">
    <cfRule type="expression" dxfId="3" priority="84">
      <formula>AND(N6&lt;&gt;"",UPPER(N6)&lt;&gt;UPPER(N5))</formula>
    </cfRule>
  </conditionalFormatting>
  <conditionalFormatting sqref="O6:O54">
    <cfRule type="expression" dxfId="2" priority="85">
      <formula>AND(O6&lt;&gt;"",UPPER(O6)=UPPER(O5))</formula>
    </cfRule>
  </conditionalFormatting>
  <conditionalFormatting sqref="O6:O54">
    <cfRule type="expression" dxfId="3" priority="86">
      <formula>AND(O6&lt;&gt;"",UPPER(O6)&lt;&gt;UPPER(O5))</formula>
    </cfRule>
  </conditionalFormatting>
  <conditionalFormatting sqref="P6:P54">
    <cfRule type="expression" dxfId="2" priority="87">
      <formula>AND(P6&lt;&gt;"",UPPER(P6)=UPPER(P5))</formula>
    </cfRule>
  </conditionalFormatting>
  <conditionalFormatting sqref="P6:P54">
    <cfRule type="expression" dxfId="3" priority="88">
      <formula>AND(P6&lt;&gt;"",UPPER(P6)&lt;&gt;UPPER(P5))</formula>
    </cfRule>
  </conditionalFormatting>
  <conditionalFormatting sqref="Q6:Q54">
    <cfRule type="expression" dxfId="2" priority="89">
      <formula>AND(Q6&lt;&gt;"",UPPER(Q6)=UPPER(Q5))</formula>
    </cfRule>
  </conditionalFormatting>
  <conditionalFormatting sqref="Q6:Q54">
    <cfRule type="expression" dxfId="3" priority="90">
      <formula>AND(Q6&lt;&gt;"",UPPER(Q6)&lt;&gt;UPPER(Q5))</formula>
    </cfRule>
  </conditionalFormatting>
  <conditionalFormatting sqref="R6:R54">
    <cfRule type="expression" dxfId="2" priority="91">
      <formula>AND(R6&lt;&gt;"",UPPER(R6)=UPPER(R5))</formula>
    </cfRule>
  </conditionalFormatting>
  <conditionalFormatting sqref="R6:R54">
    <cfRule type="expression" dxfId="3" priority="92">
      <formula>AND(R6&lt;&gt;"",UPPER(R6)&lt;&gt;UPPER(R5))</formula>
    </cfRule>
  </conditionalFormatting>
  <conditionalFormatting sqref="S6:S54">
    <cfRule type="expression" dxfId="2" priority="93">
      <formula>AND(S6&lt;&gt;"",UPPER(S6)=UPPER(S5))</formula>
    </cfRule>
  </conditionalFormatting>
  <conditionalFormatting sqref="S6:S54">
    <cfRule type="expression" dxfId="3" priority="94">
      <formula>AND(S6&lt;&gt;"",UPPER(S6)&lt;&gt;UPPER(S5))</formula>
    </cfRule>
  </conditionalFormatting>
  <conditionalFormatting sqref="T6:T54">
    <cfRule type="expression" dxfId="2" priority="95">
      <formula>AND(T6&lt;&gt;"",UPPER(T6)=UPPER(T5))</formula>
    </cfRule>
  </conditionalFormatting>
  <conditionalFormatting sqref="T6:T54">
    <cfRule type="expression" dxfId="3" priority="96">
      <formula>AND(T6&lt;&gt;"",UPPER(T6)&lt;&gt;UPPER(T5))</formula>
    </cfRule>
  </conditionalFormatting>
  <conditionalFormatting sqref="U6:U54">
    <cfRule type="expression" dxfId="2" priority="97">
      <formula>AND(U6&lt;&gt;"",UPPER(U6)=UPPER(U5))</formula>
    </cfRule>
  </conditionalFormatting>
  <conditionalFormatting sqref="U6:U54">
    <cfRule type="expression" dxfId="3" priority="98">
      <formula>AND(U6&lt;&gt;"",UPPER(U6)&lt;&gt;UPPER(U5))</formula>
    </cfRule>
  </conditionalFormatting>
  <conditionalFormatting sqref="V6:V54">
    <cfRule type="expression" dxfId="2" priority="99">
      <formula>AND(V6&lt;&gt;"",UPPER(V6)=UPPER(V5))</formula>
    </cfRule>
  </conditionalFormatting>
  <conditionalFormatting sqref="V6:V54">
    <cfRule type="expression" dxfId="3" priority="100">
      <formula>AND(V6&lt;&gt;"",UPPER(V6)&lt;&gt;UPPER(V5))</formula>
    </cfRule>
  </conditionalFormatting>
  <conditionalFormatting sqref="W6:W54">
    <cfRule type="expression" dxfId="2" priority="101">
      <formula>AND(W6&lt;&gt;"",UPPER(W6)=UPPER(W5))</formula>
    </cfRule>
  </conditionalFormatting>
  <conditionalFormatting sqref="W6:W54">
    <cfRule type="expression" dxfId="3" priority="102">
      <formula>AND(W6&lt;&gt;"",UPPER(W6)&lt;&gt;UPPER(W5))</formula>
    </cfRule>
  </conditionalFormatting>
  <conditionalFormatting sqref="X6:X54">
    <cfRule type="expression" dxfId="2" priority="103">
      <formula>AND(X6&lt;&gt;"",UPPER(X6)=UPPER(X5))</formula>
    </cfRule>
  </conditionalFormatting>
  <conditionalFormatting sqref="X6:X54">
    <cfRule type="expression" dxfId="3" priority="104">
      <formula>AND(X6&lt;&gt;"",UPPER(X6)&lt;&gt;UPPER(X5))</formula>
    </cfRule>
  </conditionalFormatting>
  <conditionalFormatting sqref="Y6:Y54">
    <cfRule type="expression" dxfId="2" priority="105">
      <formula>AND(Y6&lt;&gt;"",UPPER(Y6)=UPPER(Y5))</formula>
    </cfRule>
  </conditionalFormatting>
  <conditionalFormatting sqref="Y6:Y54">
    <cfRule type="expression" dxfId="3" priority="106">
      <formula>AND(Y6&lt;&gt;"",UPPER(Y6)&lt;&gt;UPPER(Y5))</formula>
    </cfRule>
  </conditionalFormatting>
  <conditionalFormatting sqref="Z6:Z54">
    <cfRule type="expression" dxfId="2" priority="107">
      <formula>AND(Z6&lt;&gt;"",UPPER(Z6)=UPPER(Z5))</formula>
    </cfRule>
  </conditionalFormatting>
  <conditionalFormatting sqref="Z6:Z54">
    <cfRule type="expression" dxfId="3" priority="108">
      <formula>AND(Z6&lt;&gt;"",UPPER(Z6)&lt;&gt;UPPER(Z5))</formula>
    </cfRule>
  </conditionalFormatting>
  <conditionalFormatting sqref="AA6:AA54">
    <cfRule type="expression" dxfId="2" priority="109">
      <formula>AND(AA6&lt;&gt;"",UPPER(AA6)=UPPER(AA5))</formula>
    </cfRule>
  </conditionalFormatting>
  <conditionalFormatting sqref="AA6:AA54">
    <cfRule type="expression" dxfId="3" priority="110">
      <formula>AND(AA6&lt;&gt;"",UPPER(AA6)&lt;&gt;UPPER(AA5))</formula>
    </cfRule>
  </conditionalFormatting>
  <conditionalFormatting sqref="AB6:AB54">
    <cfRule type="expression" dxfId="2" priority="111">
      <formula>AND(AB6&lt;&gt;"",UPPER(AB6)=UPPER(AB5))</formula>
    </cfRule>
  </conditionalFormatting>
  <conditionalFormatting sqref="AB6:AB54">
    <cfRule type="expression" dxfId="3" priority="112">
      <formula>AND(AB6&lt;&gt;"",UPPER(AB6)&lt;&gt;UPPER(AB5))</formula>
    </cfRule>
  </conditionalFormatting>
  <conditionalFormatting sqref="AC6:AC54">
    <cfRule type="expression" dxfId="2" priority="113">
      <formula>AND(AC6&lt;&gt;"",UPPER(AC6)=UPPER(AC5))</formula>
    </cfRule>
  </conditionalFormatting>
  <conditionalFormatting sqref="AC6:AC54">
    <cfRule type="expression" dxfId="3" priority="114">
      <formula>AND(AC6&lt;&gt;"",UPPER(AC6)&lt;&gt;UPPER(AC5))</formula>
    </cfRule>
  </conditionalFormatting>
  <conditionalFormatting sqref="AD6:AD54">
    <cfRule type="expression" dxfId="2" priority="115">
      <formula>AND(AD6&lt;&gt;"",UPPER(AD6)=UPPER(AD5))</formula>
    </cfRule>
  </conditionalFormatting>
  <conditionalFormatting sqref="AD6:AD54">
    <cfRule type="expression" dxfId="3" priority="116">
      <formula>AND(AD6&lt;&gt;"",UPPER(AD6)&lt;&gt;UPPER(AD5))</formula>
    </cfRule>
  </conditionalFormatting>
  <conditionalFormatting sqref="AE6:AE54">
    <cfRule type="expression" dxfId="2" priority="117">
      <formula>AND(AE6&lt;&gt;"",UPPER(AE6)=UPPER(AE5))</formula>
    </cfRule>
  </conditionalFormatting>
  <conditionalFormatting sqref="AE6:AE54">
    <cfRule type="expression" dxfId="3" priority="118">
      <formula>AND(AE6&lt;&gt;"",UPPER(AE6)&lt;&gt;UPPER(AE5))</formula>
    </cfRule>
  </conditionalFormatting>
  <conditionalFormatting sqref="AF6:AF54">
    <cfRule type="expression" dxfId="2" priority="119">
      <formula>AND(AF6&lt;&gt;"",UPPER(AF6)=UPPER(AF5))</formula>
    </cfRule>
  </conditionalFormatting>
  <conditionalFormatting sqref="AF6:AF54">
    <cfRule type="expression" dxfId="3" priority="120">
      <formula>AND(AF6&lt;&gt;"",UPPER(AF6)&lt;&gt;UPPER(AF5))</formula>
    </cfRule>
  </conditionalFormatting>
  <conditionalFormatting sqref="AG6:AG54">
    <cfRule type="expression" dxfId="2" priority="121">
      <formula>AND(AG6&lt;&gt;"",UPPER(AG6)=UPPER(AG5))</formula>
    </cfRule>
  </conditionalFormatting>
  <conditionalFormatting sqref="AG6:AG54">
    <cfRule type="expression" dxfId="3" priority="122">
      <formula>AND(AG6&lt;&gt;"",UPPER(AG6)&lt;&gt;UPPER(AG5))</formula>
    </cfRule>
  </conditionalFormatting>
  <conditionalFormatting sqref="AH6:AH54">
    <cfRule type="expression" dxfId="2" priority="123">
      <formula>AND(AH6&lt;&gt;"",UPPER(AH6)=UPPER(AH5))</formula>
    </cfRule>
  </conditionalFormatting>
  <conditionalFormatting sqref="AH6:AH54">
    <cfRule type="expression" dxfId="3" priority="124">
      <formula>AND(AH6&lt;&gt;"",UPPER(AH6)&lt;&gt;UPPER(AH5))</formula>
    </cfRule>
  </conditionalFormatting>
  <dataValidations>
    <dataValidation type="list" allowBlank="1" sqref="E6:AH55">
      <formula1>"A,B,C,D,a,b,c,d"</formula1>
    </dataValidation>
  </dataValidations>
  <printOptions/>
  <pageMargins bottom="1.0" footer="0.0" header="0.0" left="0.75" right="0.75" top="1.0"/>
  <pageSetup paperSize="9" orientation="portrait"/>
  <drawing r:id="rId1"/>
</worksheet>
</file>