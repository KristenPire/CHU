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2 (b)" sheetId="1" r:id="rId5"/>
    <sheet state="visible" name="group 34 (a)" sheetId="2" r:id="rId6"/>
  </sheets>
  <definedNames/>
  <calcPr/>
</workbook>
</file>

<file path=xl/sharedStrings.xml><?xml version="1.0" encoding="utf-8"?>
<sst xmlns="http://schemas.openxmlformats.org/spreadsheetml/2006/main" count="4127" uniqueCount="270">
  <si>
    <t>OS MCQ Exam — Version B — Grading Sheet</t>
  </si>
  <si>
    <t>Enter answers per student. ★ single letter, ★★ all correct letters (e.g. CD). ★★ partial: 1 right = half pts, 1 right + 1 wrong = 0.  Total: 100 pts</t>
  </si>
  <si>
    <t>Student ID</t>
  </si>
  <si>
    <t>English Name</t>
  </si>
  <si>
    <t>Name</t>
  </si>
  <si>
    <t>Score /100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</si>
  <si>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</si>
  <si>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</si>
  <si>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</si>
  <si>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</si>
  <si>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</si>
  <si>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</si>
  <si>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</si>
  <si>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</si>
  <si>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</si>
  <si>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</si>
  <si>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</si>
  <si>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</si>
  <si>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</si>
  <si>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</si>
  <si>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</si>
  <si>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</si>
  <si>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</si>
  <si>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</si>
  <si>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</si>
  <si>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</si>
  <si>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</si>
  <si>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</si>
  <si>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</si>
  <si>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</si>
  <si>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</si>
  <si>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</si>
  <si>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</si>
  <si>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</si>
  <si>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</si>
  <si>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</si>
  <si>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</si>
  <si>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</si>
  <si>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</si>
  <si>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</si>
  <si>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</si>
  <si>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</si>
  <si>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</si>
  <si>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</si>
  <si>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</si>
  <si>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</si>
  <si>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POINTS</t>
  </si>
  <si>
    <t>ANSWER KEY</t>
  </si>
  <si>
    <t>A/B</t>
  </si>
  <si>
    <t>A</t>
  </si>
  <si>
    <t>CD</t>
  </si>
  <si>
    <t>C</t>
  </si>
  <si>
    <t>B</t>
  </si>
  <si>
    <t>D</t>
  </si>
  <si>
    <t>AC</t>
  </si>
  <si>
    <t>AB</t>
  </si>
  <si>
    <t>AD</t>
  </si>
  <si>
    <t>% Correct</t>
  </si>
  <si>
    <t>jacob</t>
  </si>
  <si>
    <t>李定诺</t>
  </si>
  <si>
    <t>b</t>
  </si>
  <si>
    <t>a</t>
  </si>
  <si>
    <t>cd</t>
  </si>
  <si>
    <t>c</t>
  </si>
  <si>
    <t>d</t>
  </si>
  <si>
    <t>ac</t>
  </si>
  <si>
    <t>ab</t>
  </si>
  <si>
    <t>ad</t>
  </si>
  <si>
    <t>Alan</t>
  </si>
  <si>
    <t>喻思翔</t>
  </si>
  <si>
    <t>abc</t>
  </si>
  <si>
    <t>Alex</t>
  </si>
  <si>
    <t>牛远兮</t>
  </si>
  <si>
    <t>bc</t>
  </si>
  <si>
    <t>bd</t>
  </si>
  <si>
    <t xml:space="preserve">Benyuan Dai </t>
  </si>
  <si>
    <t>戴本源</t>
  </si>
  <si>
    <t>Charles</t>
  </si>
  <si>
    <t>陈韬宇</t>
  </si>
  <si>
    <t>Danny</t>
  </si>
  <si>
    <t>陈子明</t>
  </si>
  <si>
    <t>David</t>
  </si>
  <si>
    <t>陈萌航</t>
  </si>
  <si>
    <t>Divid</t>
  </si>
  <si>
    <t>高圣煜</t>
  </si>
  <si>
    <t>Fannie</t>
  </si>
  <si>
    <t>曾羽凡</t>
  </si>
  <si>
    <t>ca</t>
  </si>
  <si>
    <t>Gaston</t>
  </si>
  <si>
    <t>张方煜辰</t>
  </si>
  <si>
    <t>Harrison</t>
  </si>
  <si>
    <t>叶与陈</t>
  </si>
  <si>
    <t>Hongrui Bian</t>
  </si>
  <si>
    <t>边红瑞</t>
  </si>
  <si>
    <t>Jacinda</t>
  </si>
  <si>
    <t>张馨月</t>
  </si>
  <si>
    <t>Jerry</t>
  </si>
  <si>
    <t>赵一泽</t>
  </si>
  <si>
    <t>Jim</t>
  </si>
  <si>
    <t>许哲铭</t>
  </si>
  <si>
    <t>Jobs</t>
  </si>
  <si>
    <t>魏孟颢</t>
  </si>
  <si>
    <t>John</t>
  </si>
  <si>
    <t>刘俊佑</t>
  </si>
  <si>
    <t>Joker</t>
  </si>
  <si>
    <t>宋豪杰</t>
  </si>
  <si>
    <t>Kale</t>
  </si>
  <si>
    <t>王泉智</t>
  </si>
  <si>
    <t>Landy</t>
  </si>
  <si>
    <t>赵书炜</t>
  </si>
  <si>
    <t>Leo</t>
  </si>
  <si>
    <t>吴思远</t>
  </si>
  <si>
    <t>周逸朗</t>
  </si>
  <si>
    <t>dc</t>
  </si>
  <si>
    <t>Marco</t>
  </si>
  <si>
    <t>苏嘉玮</t>
  </si>
  <si>
    <t>db</t>
  </si>
  <si>
    <t>Mark</t>
  </si>
  <si>
    <t>许正琦</t>
  </si>
  <si>
    <t>Mercury</t>
  </si>
  <si>
    <t>谢小炜</t>
  </si>
  <si>
    <t>Michael</t>
  </si>
  <si>
    <t>穆逸凡</t>
  </si>
  <si>
    <t>Michael Yu</t>
  </si>
  <si>
    <t>余子谦</t>
  </si>
  <si>
    <t>bcd</t>
  </si>
  <si>
    <t>acd</t>
  </si>
  <si>
    <t>Michelle</t>
  </si>
  <si>
    <t>张紫嫣</t>
  </si>
  <si>
    <t>Noah</t>
  </si>
  <si>
    <t>吕松原</t>
  </si>
  <si>
    <t>Peggy</t>
  </si>
  <si>
    <t>汪紫妍</t>
  </si>
  <si>
    <t>Rayne Gao</t>
  </si>
  <si>
    <t>高海天</t>
  </si>
  <si>
    <t>Rock</t>
  </si>
  <si>
    <t>赵昱博</t>
  </si>
  <si>
    <t>Han</t>
  </si>
  <si>
    <t>陈思涵</t>
  </si>
  <si>
    <t>x</t>
  </si>
  <si>
    <t>Star</t>
  </si>
  <si>
    <t>郭星源</t>
  </si>
  <si>
    <t>adc</t>
  </si>
  <si>
    <t>Summer</t>
  </si>
  <si>
    <t>夏天泽</t>
  </si>
  <si>
    <t>Terry</t>
  </si>
  <si>
    <t>虞盎然</t>
  </si>
  <si>
    <t>Theodore</t>
  </si>
  <si>
    <t>郑宇翔</t>
  </si>
  <si>
    <t>Tom</t>
  </si>
  <si>
    <t>靳泽宇</t>
  </si>
  <si>
    <t>Verena</t>
  </si>
  <si>
    <t>陈溢苹</t>
  </si>
  <si>
    <t>Doris</t>
  </si>
  <si>
    <t>陈怡彤</t>
  </si>
  <si>
    <t>Vernon</t>
  </si>
  <si>
    <t>陈亦力</t>
  </si>
  <si>
    <t>Viclant</t>
  </si>
  <si>
    <t>吴彦澜</t>
  </si>
  <si>
    <t>Wren</t>
  </si>
  <si>
    <t>何唯</t>
  </si>
  <si>
    <t>Xianqing Lin</t>
  </si>
  <si>
    <t>林贤庆</t>
  </si>
  <si>
    <t>yogafire</t>
  </si>
  <si>
    <t>李杰瑞</t>
  </si>
  <si>
    <t>Youheng Xu</t>
  </si>
  <si>
    <t>徐有恒</t>
  </si>
  <si>
    <t>CLASS AVERAGE</t>
  </si>
  <si>
    <t>OS MCQ Exam — Version A — Grading Sheet</t>
  </si>
  <si>
    <t>BD</t>
  </si>
  <si>
    <t>BC</t>
  </si>
  <si>
    <t>Adam</t>
  </si>
  <si>
    <t>董拓言</t>
  </si>
  <si>
    <t>ALEX</t>
  </si>
  <si>
    <t>殷翔</t>
  </si>
  <si>
    <t>Alger Zhu</t>
  </si>
  <si>
    <t>朱云翔</t>
  </si>
  <si>
    <t xml:space="preserve">Apryl </t>
  </si>
  <si>
    <t>孙晋楠</t>
  </si>
  <si>
    <t>abd</t>
  </si>
  <si>
    <t>Baron</t>
  </si>
  <si>
    <t>巴奕天</t>
  </si>
  <si>
    <t>bdc</t>
  </si>
  <si>
    <t>Beluga</t>
  </si>
  <si>
    <t>冉崧琦</t>
  </si>
  <si>
    <t>Ben</t>
  </si>
  <si>
    <t>白培琰</t>
  </si>
  <si>
    <t>Bo Liu</t>
  </si>
  <si>
    <t>刘博</t>
  </si>
  <si>
    <t>Cadian</t>
  </si>
  <si>
    <t>柏寒晖</t>
  </si>
  <si>
    <t>Camellia</t>
  </si>
  <si>
    <t>吴语涵</t>
  </si>
  <si>
    <t>Chen Zihan</t>
  </si>
  <si>
    <t>陈子晗</t>
  </si>
  <si>
    <t>Daniel</t>
  </si>
  <si>
    <t>耿明赫</t>
  </si>
  <si>
    <t>Edison</t>
  </si>
  <si>
    <t>刘家敖</t>
  </si>
  <si>
    <t>Eloise</t>
  </si>
  <si>
    <t>张沈宁</t>
  </si>
  <si>
    <t>Elvis</t>
  </si>
  <si>
    <t>林俊锴</t>
  </si>
  <si>
    <t>Enzo</t>
  </si>
  <si>
    <t>陈禹琛</t>
  </si>
  <si>
    <t>Eve</t>
  </si>
  <si>
    <t>王子烨</t>
  </si>
  <si>
    <t>Felix</t>
  </si>
  <si>
    <t>郭子玄</t>
  </si>
  <si>
    <t>Guo Jingsheng</t>
  </si>
  <si>
    <t>郭靖生</t>
  </si>
  <si>
    <t>Horace</t>
  </si>
  <si>
    <t>张弘儒</t>
  </si>
  <si>
    <t>Ikun Hututu</t>
  </si>
  <si>
    <t>张李凡</t>
  </si>
  <si>
    <t>Jack Zhang</t>
  </si>
  <si>
    <t>章峻炜</t>
  </si>
  <si>
    <t>James William</t>
  </si>
  <si>
    <t>张沐阳</t>
  </si>
  <si>
    <t>Joseph Wuyang</t>
  </si>
  <si>
    <t>吴杨子骏</t>
  </si>
  <si>
    <t>abcd</t>
  </si>
  <si>
    <t>Kane</t>
  </si>
  <si>
    <t>许杰翔</t>
  </si>
  <si>
    <t>Katie</t>
  </si>
  <si>
    <t>郭可馨</t>
  </si>
  <si>
    <t>Kevin Chou</t>
  </si>
  <si>
    <t>周毅</t>
  </si>
  <si>
    <t>Leah</t>
  </si>
  <si>
    <t>雷晴</t>
  </si>
  <si>
    <t>bad</t>
  </si>
  <si>
    <t>李秋璇</t>
  </si>
  <si>
    <t>da</t>
  </si>
  <si>
    <t>Lilibet</t>
  </si>
  <si>
    <t>秦颢嘉</t>
  </si>
  <si>
    <t>lingche chi</t>
  </si>
  <si>
    <t>池泠澈</t>
  </si>
  <si>
    <t>Link</t>
  </si>
  <si>
    <t>曲宗显</t>
  </si>
  <si>
    <t>Liu Yunfei (leo)</t>
  </si>
  <si>
    <t>柳云飞</t>
  </si>
  <si>
    <t>Lucas</t>
  </si>
  <si>
    <t>寇鹏博</t>
  </si>
  <si>
    <t>Luke</t>
  </si>
  <si>
    <t>刘从文</t>
  </si>
  <si>
    <t>Mitch</t>
  </si>
  <si>
    <t>张煜涵</t>
  </si>
  <si>
    <t>Neil</t>
  </si>
  <si>
    <t>郭书豪</t>
  </si>
  <si>
    <t>Ray</t>
  </si>
  <si>
    <t>张润洋</t>
  </si>
  <si>
    <t>Rick</t>
  </si>
  <si>
    <t>叶子豪</t>
  </si>
  <si>
    <t>Steven</t>
  </si>
  <si>
    <t>朱帅文</t>
  </si>
  <si>
    <t>徐曈</t>
  </si>
  <si>
    <t>Tracy</t>
  </si>
  <si>
    <t>高祎欣</t>
  </si>
  <si>
    <t>Victor</t>
  </si>
  <si>
    <t>冯俊淇</t>
  </si>
  <si>
    <t>Wade</t>
  </si>
  <si>
    <t>刘育树</t>
  </si>
  <si>
    <t>Zander</t>
  </si>
  <si>
    <t>张睿宸</t>
  </si>
  <si>
    <t>Zikang Cao</t>
  </si>
  <si>
    <t>曹子康</t>
  </si>
  <si>
    <t>Zima</t>
  </si>
  <si>
    <t>张鸣宇</t>
  </si>
  <si>
    <t>Zora</t>
  </si>
  <si>
    <t>周熙颖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</si>
</sst>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4.0"/>
      <color theme="1"/>
      <name val="Arial"/>
    </font>
    <font>
      <i/>
      <sz val="10.0"/>
      <color theme="1"/>
      <name val="Arial"/>
    </font>
    <font>
      <b/>
      <sz val="10.0"/>
      <color theme="1"/>
      <name val="Arial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i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E06666"/>
        <bgColor rgb="FFE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0" fillId="0" fontId="3" numFmtId="0" xfId="0" applyFont="1"/>
    <xf borderId="1" fillId="3" fontId="4" numFmtId="0" xfId="0" applyBorder="1" applyFill="1" applyFont="1"/>
    <xf borderId="1" fillId="3" fontId="5" numFmtId="0" xfId="0" applyAlignment="1" applyBorder="1" applyFont="1">
      <alignment horizontal="center"/>
    </xf>
    <xf borderId="1" fillId="4" fontId="4" numFmtId="0" xfId="0" applyAlignment="1" applyBorder="1" applyFill="1" applyFont="1">
      <alignment horizontal="center"/>
    </xf>
    <xf borderId="0" fillId="0" fontId="3" numFmtId="0" xfId="0" applyAlignment="1" applyFont="1">
      <alignment readingOrder="0"/>
    </xf>
    <xf borderId="1" fillId="4" fontId="4" numFmtId="164" xfId="0" applyAlignment="1" applyBorder="1" applyFont="1" applyNumberFormat="1">
      <alignment horizontal="center"/>
    </xf>
    <xf borderId="0" fillId="0" fontId="6" numFmtId="0" xfId="0" applyFont="1"/>
    <xf borderId="0" fillId="0" fontId="6" numFmtId="0" xfId="0" applyAlignment="1" applyFont="1">
      <alignment readingOrder="0"/>
    </xf>
    <xf borderId="1" fillId="0" fontId="4" numFmtId="0" xfId="0" applyBorder="1" applyFont="1"/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0" fillId="5" fontId="6" numFmtId="0" xfId="0" applyAlignment="1" applyFill="1" applyFont="1">
      <alignment readingOrder="0"/>
    </xf>
    <xf borderId="0" fillId="0" fontId="7" numFmtId="0" xfId="0" applyFont="1"/>
  </cellXfs>
  <cellStyles count="1">
    <cellStyle xfId="0" name="Normal" builtinId="0"/>
  </cellStyles>
  <dxfs count="15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0.0"/>
    <col customWidth="1" min="3" max="4" width="12.0"/>
    <col customWidth="1" min="5" max="44" width="6.43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</row>
    <row r="4">
      <c r="A4" s="4" t="s">
        <v>46</v>
      </c>
      <c r="D4" s="5">
        <v>100.0</v>
      </c>
      <c r="E4" s="6">
        <v>2.5</v>
      </c>
      <c r="F4" s="6">
        <v>2.5</v>
      </c>
      <c r="G4" s="6">
        <v>2.5</v>
      </c>
      <c r="H4" s="6">
        <v>2.5</v>
      </c>
      <c r="I4" s="6">
        <v>2.5</v>
      </c>
      <c r="J4" s="6">
        <v>2.5</v>
      </c>
      <c r="K4" s="6">
        <v>2.5</v>
      </c>
      <c r="L4" s="6">
        <v>2.5</v>
      </c>
      <c r="M4" s="6">
        <v>2.5</v>
      </c>
      <c r="N4" s="6">
        <v>2.5</v>
      </c>
      <c r="O4" s="6">
        <v>2.5</v>
      </c>
      <c r="P4" s="6">
        <v>2.5</v>
      </c>
      <c r="Q4" s="6">
        <v>2.5</v>
      </c>
      <c r="R4" s="6">
        <v>2.5</v>
      </c>
      <c r="S4" s="6">
        <v>2.5</v>
      </c>
      <c r="T4" s="6">
        <v>2.5</v>
      </c>
      <c r="U4" s="6">
        <v>2.5</v>
      </c>
      <c r="V4" s="6">
        <v>2.5</v>
      </c>
      <c r="W4" s="6">
        <v>2.5</v>
      </c>
      <c r="X4" s="6">
        <v>2.5</v>
      </c>
      <c r="Y4" s="6">
        <v>2.5</v>
      </c>
      <c r="Z4" s="6">
        <v>2.5</v>
      </c>
      <c r="AA4" s="6">
        <v>2.5</v>
      </c>
      <c r="AB4" s="6">
        <v>2.5</v>
      </c>
      <c r="AC4" s="6">
        <v>2.5</v>
      </c>
      <c r="AD4" s="6">
        <v>2.5</v>
      </c>
      <c r="AE4" s="6">
        <v>2.5</v>
      </c>
      <c r="AF4" s="6">
        <v>2.5</v>
      </c>
      <c r="AG4" s="6">
        <v>2.5</v>
      </c>
      <c r="AH4" s="6">
        <v>2.5</v>
      </c>
      <c r="AI4" s="6">
        <v>2.5</v>
      </c>
      <c r="AJ4" s="6">
        <v>2.5</v>
      </c>
      <c r="AK4" s="6">
        <v>2.5</v>
      </c>
      <c r="AL4" s="6">
        <v>2.5</v>
      </c>
      <c r="AM4" s="6">
        <v>2.5</v>
      </c>
      <c r="AN4" s="6">
        <v>2.5</v>
      </c>
      <c r="AO4" s="6">
        <v>2.5</v>
      </c>
      <c r="AP4" s="6">
        <v>2.5</v>
      </c>
      <c r="AQ4" s="6">
        <v>2.5</v>
      </c>
      <c r="AR4" s="6">
        <v>2.5</v>
      </c>
    </row>
    <row r="5">
      <c r="A5" s="4" t="s">
        <v>47</v>
      </c>
      <c r="E5" s="7" t="s">
        <v>48</v>
      </c>
      <c r="F5" s="7" t="s">
        <v>49</v>
      </c>
      <c r="G5" s="7" t="s">
        <v>50</v>
      </c>
      <c r="H5" s="7" t="s">
        <v>51</v>
      </c>
      <c r="I5" s="7" t="s">
        <v>52</v>
      </c>
      <c r="J5" s="7" t="s">
        <v>53</v>
      </c>
      <c r="K5" s="7" t="s">
        <v>54</v>
      </c>
      <c r="L5" s="7" t="s">
        <v>51</v>
      </c>
      <c r="M5" s="7" t="s">
        <v>49</v>
      </c>
      <c r="N5" s="7" t="s">
        <v>51</v>
      </c>
      <c r="O5" s="7" t="s">
        <v>55</v>
      </c>
      <c r="P5" s="7" t="s">
        <v>52</v>
      </c>
      <c r="Q5" s="7" t="s">
        <v>53</v>
      </c>
      <c r="R5" s="7" t="s">
        <v>49</v>
      </c>
      <c r="S5" s="7" t="s">
        <v>51</v>
      </c>
      <c r="T5" s="7" t="s">
        <v>53</v>
      </c>
      <c r="U5" s="7" t="s">
        <v>56</v>
      </c>
      <c r="V5" s="7" t="s">
        <v>50</v>
      </c>
      <c r="W5" s="7" t="s">
        <v>49</v>
      </c>
      <c r="X5" s="7" t="s">
        <v>51</v>
      </c>
      <c r="Y5" s="7" t="s">
        <v>52</v>
      </c>
      <c r="Z5" s="7" t="s">
        <v>51</v>
      </c>
      <c r="AA5" s="7" t="s">
        <v>50</v>
      </c>
      <c r="AB5" s="7" t="s">
        <v>50</v>
      </c>
      <c r="AC5" s="7" t="s">
        <v>52</v>
      </c>
      <c r="AD5" s="7" t="s">
        <v>53</v>
      </c>
      <c r="AE5" s="7" t="s">
        <v>52</v>
      </c>
      <c r="AF5" s="7" t="s">
        <v>49</v>
      </c>
      <c r="AG5" s="7" t="s">
        <v>53</v>
      </c>
      <c r="AH5" s="7" t="s">
        <v>51</v>
      </c>
      <c r="AI5" s="7" t="s">
        <v>54</v>
      </c>
      <c r="AJ5" s="7" t="s">
        <v>53</v>
      </c>
      <c r="AK5" s="7" t="s">
        <v>49</v>
      </c>
      <c r="AL5" s="7" t="s">
        <v>51</v>
      </c>
      <c r="AM5" s="7" t="s">
        <v>51</v>
      </c>
      <c r="AN5" s="7" t="s">
        <v>54</v>
      </c>
      <c r="AO5" s="7" t="s">
        <v>49</v>
      </c>
      <c r="AP5" s="7" t="s">
        <v>52</v>
      </c>
      <c r="AQ5" s="7" t="s">
        <v>48</v>
      </c>
      <c r="AR5" s="7" t="s">
        <v>56</v>
      </c>
    </row>
    <row r="6">
      <c r="A6" s="8" t="s">
        <v>57</v>
      </c>
      <c r="E6" s="9">
        <f>IFERROR(__xludf.DUMMYFUNCTION("SUMPRODUCT(COUNTIF(E7:E53, SPLIT(E$5, ""/"")))/COUNTA(E7:E53)"),0.8695652173913043)</f>
        <v>0.8695652174</v>
      </c>
      <c r="F6" s="9">
        <f>IFERROR(__xludf.DUMMYFUNCTION("SUMPRODUCT(COUNTIF(F7:F53, SPLIT(F$5, ""/"")))/COUNTA(F7:F53)"),0.8260869565217391)</f>
        <v>0.8260869565</v>
      </c>
      <c r="G6" s="9">
        <f>IFERROR(__xludf.DUMMYFUNCTION("SUMPRODUCT(COUNTIF(G7:G53, SPLIT(G$5, ""/"")))/COUNTA(G7:G53)"),0.5217391304347826)</f>
        <v>0.5217391304</v>
      </c>
      <c r="H6" s="9">
        <f>IFERROR(__xludf.DUMMYFUNCTION("SUMPRODUCT(COUNTIF(H7:H53, SPLIT(H$5, ""/"")))/COUNTA(H7:H53)"),0.8478260869565217)</f>
        <v>0.847826087</v>
      </c>
      <c r="I6" s="9">
        <f>IFERROR(__xludf.DUMMYFUNCTION("SUMPRODUCT(COUNTIF(I7:I53, SPLIT(I$5, ""/"")))/COUNTA(I7:I53)"),0.8478260869565217)</f>
        <v>0.847826087</v>
      </c>
      <c r="J6" s="9">
        <f>IFERROR(__xludf.DUMMYFUNCTION("SUMPRODUCT(COUNTIF(J7:J53, SPLIT(J$5, ""/"")))/COUNTA(J7:J53)"),0.6739130434782609)</f>
        <v>0.6739130435</v>
      </c>
      <c r="K6" s="9">
        <f>IFERROR(__xludf.DUMMYFUNCTION("SUMPRODUCT(COUNTIF(K7:K53, SPLIT(K$5, ""/"")))/COUNTA(K7:K53)"),0.7391304347826086)</f>
        <v>0.7391304348</v>
      </c>
      <c r="L6" s="9">
        <f>IFERROR(__xludf.DUMMYFUNCTION("SUMPRODUCT(COUNTIF(L7:L53, SPLIT(L$5, ""/"")))/COUNTA(L7:L53)"),0.8695652173913043)</f>
        <v>0.8695652174</v>
      </c>
      <c r="M6" s="9">
        <f>IFERROR(__xludf.DUMMYFUNCTION("SUMPRODUCT(COUNTIF(M7:M53, SPLIT(M$5, ""/"")))/COUNTA(M7:M53)"),0.8695652173913043)</f>
        <v>0.8695652174</v>
      </c>
      <c r="N6" s="9">
        <f>IFERROR(__xludf.DUMMYFUNCTION("SUMPRODUCT(COUNTIF(N7:N53, SPLIT(N$5, ""/"")))/COUNTA(N7:N53)"),0.6086956521739131)</f>
        <v>0.6086956522</v>
      </c>
      <c r="O6" s="9">
        <f>IFERROR(__xludf.DUMMYFUNCTION("SUMPRODUCT(COUNTIF(O7:O53, SPLIT(O$5, ""/"")))/COUNTA(O7:O53)"),0.8260869565217391)</f>
        <v>0.8260869565</v>
      </c>
      <c r="P6" s="9">
        <f>IFERROR(__xludf.DUMMYFUNCTION("SUMPRODUCT(COUNTIF(P7:P53, SPLIT(P$5, ""/"")))/COUNTA(P7:P53)"),0.8695652173913043)</f>
        <v>0.8695652174</v>
      </c>
      <c r="Q6" s="9">
        <f>IFERROR(__xludf.DUMMYFUNCTION("SUMPRODUCT(COUNTIF(Q7:Q53, SPLIT(Q$5, ""/"")))/COUNTA(Q7:Q53)"),0.8695652173913043)</f>
        <v>0.8695652174</v>
      </c>
      <c r="R6" s="9">
        <f>IFERROR(__xludf.DUMMYFUNCTION("SUMPRODUCT(COUNTIF(R7:R53, SPLIT(R$5, ""/"")))/COUNTA(R7:R53)"),1.0)</f>
        <v>1</v>
      </c>
      <c r="S6" s="9">
        <f>IFERROR(__xludf.DUMMYFUNCTION("SUMPRODUCT(COUNTIF(S7:S53, SPLIT(S$5, ""/"")))/COUNTA(S7:S53)"),0.5)</f>
        <v>0.5</v>
      </c>
      <c r="T6" s="9">
        <f>IFERROR(__xludf.DUMMYFUNCTION("SUMPRODUCT(COUNTIF(T7:T53, SPLIT(T$5, ""/"")))/COUNTA(T7:T53)"),0.8478260869565217)</f>
        <v>0.847826087</v>
      </c>
      <c r="U6" s="9">
        <f>IFERROR(__xludf.DUMMYFUNCTION("SUMPRODUCT(COUNTIF(U7:U53, SPLIT(U$5, ""/"")))/COUNTA(U7:U53)"),0.4782608695652174)</f>
        <v>0.4782608696</v>
      </c>
      <c r="V6" s="9">
        <f>IFERROR(__xludf.DUMMYFUNCTION("SUMPRODUCT(COUNTIF(V7:V53, SPLIT(V$5, ""/"")))/COUNTA(V7:V53)"),0.5)</f>
        <v>0.5</v>
      </c>
      <c r="W6" s="9">
        <f>IFERROR(__xludf.DUMMYFUNCTION("SUMPRODUCT(COUNTIF(W7:W53, SPLIT(W$5, ""/"")))/COUNTA(W7:W53)"),0.6521739130434783)</f>
        <v>0.652173913</v>
      </c>
      <c r="X6" s="9">
        <f>IFERROR(__xludf.DUMMYFUNCTION("SUMPRODUCT(COUNTIF(X7:X53, SPLIT(X$5, ""/"")))/COUNTA(X7:X53)"),0.8478260869565217)</f>
        <v>0.847826087</v>
      </c>
      <c r="Y6" s="9">
        <f>IFERROR(__xludf.DUMMYFUNCTION("SUMPRODUCT(COUNTIF(Y7:Y53, SPLIT(Y$5, ""/"")))/COUNTA(Y7:Y53)"),0.6521739130434783)</f>
        <v>0.652173913</v>
      </c>
      <c r="Z6" s="9">
        <f>IFERROR(__xludf.DUMMYFUNCTION("SUMPRODUCT(COUNTIF(Z7:Z53, SPLIT(Z$5, ""/"")))/COUNTA(Z7:Z53)"),0.717391304347826)</f>
        <v>0.7173913043</v>
      </c>
      <c r="AA6" s="9">
        <f>IFERROR(__xludf.DUMMYFUNCTION("SUMPRODUCT(COUNTIF(AA7:AA53, SPLIT(AA$5, ""/"")))/COUNTA(AA7:AA53)"),0.32608695652173914)</f>
        <v>0.3260869565</v>
      </c>
      <c r="AB6" s="9">
        <f>IFERROR(__xludf.DUMMYFUNCTION("SUMPRODUCT(COUNTIF(AB7:AB53, SPLIT(AB$5, ""/"")))/COUNTA(AB7:AB53)"),0.5434782608695652)</f>
        <v>0.5434782609</v>
      </c>
      <c r="AC6" s="9">
        <f>IFERROR(__xludf.DUMMYFUNCTION("SUMPRODUCT(COUNTIF(AC7:AC53, SPLIT(AC$5, ""/"")))/COUNTA(AC7:AC53)"),0.8695652173913043)</f>
        <v>0.8695652174</v>
      </c>
      <c r="AD6" s="9">
        <f>IFERROR(__xludf.DUMMYFUNCTION("SUMPRODUCT(COUNTIF(AD7:AD53, SPLIT(AD$5, ""/"")))/COUNTA(AD7:AD53)"),0.8913043478260869)</f>
        <v>0.8913043478</v>
      </c>
      <c r="AE6" s="9">
        <f>IFERROR(__xludf.DUMMYFUNCTION("SUMPRODUCT(COUNTIF(AE7:AE53, SPLIT(AE$5, ""/"")))/COUNTA(AE7:AE53)"),0.9347826086956522)</f>
        <v>0.9347826087</v>
      </c>
      <c r="AF6" s="9">
        <f>IFERROR(__xludf.DUMMYFUNCTION("SUMPRODUCT(COUNTIF(AF7:AF53, SPLIT(AF$5, ""/"")))/COUNTA(AF7:AF53)"),0.7608695652173914)</f>
        <v>0.7608695652</v>
      </c>
      <c r="AG6" s="9">
        <f>IFERROR(__xludf.DUMMYFUNCTION("SUMPRODUCT(COUNTIF(AG7:AG53, SPLIT(AG$5, ""/"")))/COUNTA(AG7:AG53)"),0.8913043478260869)</f>
        <v>0.8913043478</v>
      </c>
      <c r="AH6" s="9">
        <f>IFERROR(__xludf.DUMMYFUNCTION("SUMPRODUCT(COUNTIF(AH7:AH53, SPLIT(AH$5, ""/"")))/COUNTA(AH7:AH53)"),0.8478260869565217)</f>
        <v>0.847826087</v>
      </c>
      <c r="AI6" s="9">
        <f>IFERROR(__xludf.DUMMYFUNCTION("SUMPRODUCT(COUNTIF(AI7:AI53, SPLIT(AI$5, ""/"")))/COUNTA(AI7:AI53)"),0.6304347826086957)</f>
        <v>0.6304347826</v>
      </c>
      <c r="AJ6" s="9">
        <f>IFERROR(__xludf.DUMMYFUNCTION("SUMPRODUCT(COUNTIF(AJ7:AJ53, SPLIT(AJ$5, ""/"")))/COUNTA(AJ7:AJ53)"),0.782608695652174)</f>
        <v>0.7826086957</v>
      </c>
      <c r="AK6" s="9">
        <f>IFERROR(__xludf.DUMMYFUNCTION("SUMPRODUCT(COUNTIF(AK7:AK53, SPLIT(AK$5, ""/"")))/COUNTA(AK7:AK53)"),0.8695652173913043)</f>
        <v>0.8695652174</v>
      </c>
      <c r="AL6" s="9">
        <f>IFERROR(__xludf.DUMMYFUNCTION("SUMPRODUCT(COUNTIF(AL7:AL53, SPLIT(AL$5, ""/"")))/COUNTA(AL7:AL53)"),0.8478260869565217)</f>
        <v>0.847826087</v>
      </c>
      <c r="AM6" s="9">
        <f>IFERROR(__xludf.DUMMYFUNCTION("SUMPRODUCT(COUNTIF(AM7:AM53, SPLIT(AM$5, ""/"")))/COUNTA(AM7:AM53)"),0.782608695652174)</f>
        <v>0.7826086957</v>
      </c>
      <c r="AN6" s="9">
        <f>IFERROR(__xludf.DUMMYFUNCTION("SUMPRODUCT(COUNTIF(AN7:AN53, SPLIT(AN$5, ""/"")))/COUNTA(AN7:AN53)"),0.782608695652174)</f>
        <v>0.7826086957</v>
      </c>
      <c r="AO6" s="9">
        <f>IFERROR(__xludf.DUMMYFUNCTION("SUMPRODUCT(COUNTIF(AO7:AO53, SPLIT(AO$5, ""/"")))/COUNTA(AO7:AO53)"),0.8043478260869565)</f>
        <v>0.8043478261</v>
      </c>
      <c r="AP6" s="9">
        <f>IFERROR(__xludf.DUMMYFUNCTION("SUMPRODUCT(COUNTIF(AP7:AP53, SPLIT(AP$5, ""/"")))/COUNTA(AP7:AP53)"),0.8913043478260869)</f>
        <v>0.8913043478</v>
      </c>
      <c r="AQ6" s="9">
        <f>IFERROR(__xludf.DUMMYFUNCTION("SUMPRODUCT(COUNTIF(AQ7:AQ53, SPLIT(AQ$5, ""/"")))/COUNTA(AQ7:AQ53)"),0.8695652173913043)</f>
        <v>0.8695652174</v>
      </c>
      <c r="AR6" s="9">
        <f>IFERROR(__xludf.DUMMYFUNCTION("SUMPRODUCT(COUNTIF(AR7:AR53, SPLIT(AR$5, ""/"")))/COUNTA(AR7:AR53)"),0.8695652173913043)</f>
        <v>0.8695652174</v>
      </c>
    </row>
    <row r="7">
      <c r="A7" s="10">
        <v>2.023905317E9</v>
      </c>
      <c r="B7" s="11" t="s">
        <v>58</v>
      </c>
      <c r="C7" s="10" t="s">
        <v>59</v>
      </c>
      <c r="D7" s="12">
        <f>IF(OR(UPPER(E7)="A",UPPER(E7)="B"),E4,0)+IF(UPPER(F7)=UPPER(F5),F4,0)+IF(G7="",0,IF(LEN(SUBSTITUTE(SUBSTITUTE(UPPER(G7),"C",""),"D",""))&gt;0,0,IF(AND(ISNUMBER(FIND("C",UPPER(G7))),ISNUMBER(FIND("D",UPPER(G7)))),G4,G4/2)))+IF(UPPER(H7)=UPPER(H5),H4,0)+IF(UPPER(I7)=UPPER(I5),I4,0)+IF(UPPER(J7)=UPPER(J5),J4,0)+IF(K7="",0,IF(LEN(SUBSTITUTE(SUBSTITUTE(UPPER(K7),"A",""),"C",""))&gt;0,0,IF(AND(ISNUMBER(FIND("A",UPPER(K7))),ISNUMBER(FIND("C",UPPER(K7)))),K4,K4/2)))+IF(UPPER(L7)=UPPER(L5),L4,0)+IF(UPPER(M7)=UPPER(M5),M4,0)+IF(UPPER(N7)=UPPER(N5),N4,0)+IF(O7="",0,IF(LEN(SUBSTITUTE(SUBSTITUTE(UPPER(O7),"A",""),"B",""))&gt;0,0,IF(AND(ISNUMBER(FIND("A",UPPER(O7))),ISNUMBER(FIND("B",UPPER(O7)))),O4,O4/2)))+IF(UPPER(P7)=UPPER(P5),P4,0)+IF(UPPER(Q7)=UPPER(Q5),Q4,0)+IF(UPPER(R7)=UPPER(R5),R4,0)+IF(UPPER(S7)=UPPER(S5),S4,0)+IF(UPPER(T7)=UPPER(T5),T4,0)+IF(U7="",0,IF(LEN(SUBSTITUTE(SUBSTITUTE(UPPER(U7),"A",""),"D",""))&gt;0,0,IF(AND(ISNUMBER(FIND("A",UPPER(U7))),ISNUMBER(FIND("D",UPPER(U7)))),U4,U4/2)))+IF(V7="",0,IF(LEN(SUBSTITUTE(SUBSTITUTE(UPPER(V7),"C",""),"D",""))&gt;0,0,IF(AND(ISNUMBER(FIND("C",UPPER(V7))),ISNUMBER(FIND("D",UPPER(V7)))),V4,V4/2)))+IF(UPPER(W7)=UPPER(W5),W4,0)+IF(UPPER(X7)=UPPER(X5),X4,0)+IF(UPPER(Y7)=UPPER(Y5),Y4,0)+IF(UPPER(Z7)=UPPER(Z5),Z4,0)+IF(AA7="",0,IF(LEN(SUBSTITUTE(SUBSTITUTE(UPPER(AA7),"C",""),"D",""))&gt;0,0,IF(AND(ISNUMBER(FIND("C",UPPER(AA7))),ISNUMBER(FIND("D",UPPER(AA7)))),AA4,AA4/2)))+IF(AB7="",0,IF(LEN(SUBSTITUTE(SUBSTITUTE(UPPER(AB7),"C",""),"D",""))&gt;0,0,IF(AND(ISNUMBER(FIND("C",UPPER(AB7))),ISNUMBER(FIND("D",UPPER(AB7)))),AB4,AB4/2)))+IF(UPPER(AC7)=UPPER(AC5),AC4,0)+IF(UPPER(AD7)=UPPER(AD5),AD4,0)+IF(UPPER(AE7)=UPPER(AE5),AE4,0)+IF(UPPER(AF7)=UPPER(AF5),AF4,0)+IF(UPPER(AG7)=UPPER(AG5),AG4,0)+IF(UPPER(AH7)=UPPER(AH5),AH4,0)+IF(AI7="",0,IF(LEN(SUBSTITUTE(SUBSTITUTE(UPPER(AI7),"A",""),"C",""))&gt;0,0,IF(AND(ISNUMBER(FIND("A",UPPER(AI7))),ISNUMBER(FIND("C",UPPER(AI7)))),AI4,AI4/2)))+IF(UPPER(AJ7)=UPPER(AJ5),AJ4,0)+IF(UPPER(AK7)=UPPER(AK5),AK4,0)+IF(UPPER(AL7)=UPPER(AL5),AL4,0)+IF(UPPER(AM7)=UPPER(AM5),AM4,0)+IF(AN7="",0,IF(LEN(SUBSTITUTE(SUBSTITUTE(UPPER(AN7),"A",""),"C",""))&gt;0,0,IF(AND(ISNUMBER(FIND("A",UPPER(AN7))),ISNUMBER(FIND("C",UPPER(AN7)))),AN4,AN4/2)))+IF(UPPER(AO7)=UPPER(AO5),AO4,0)+IF(UPPER(AP7)=UPPER(AP5),AP4,0)+IF(OR(UPPER(AQ7)="A",UPPER(AQ7)="B"),AQ4,0)+IF(AR7="",0,IF(LEN(SUBSTITUTE(SUBSTITUTE(UPPER(AR7),"A",""),"D",""))&gt;0,0,IF(AND(ISNUMBER(FIND("A",UPPER(AR7))),ISNUMBER(FIND("D",UPPER(AR7)))),AR4,AR4/2)))</f>
        <v>98.75</v>
      </c>
      <c r="E7" s="13" t="s">
        <v>60</v>
      </c>
      <c r="F7" s="13" t="s">
        <v>61</v>
      </c>
      <c r="G7" s="13" t="s">
        <v>62</v>
      </c>
      <c r="H7" s="13" t="s">
        <v>63</v>
      </c>
      <c r="I7" s="13" t="s">
        <v>60</v>
      </c>
      <c r="J7" s="13" t="s">
        <v>64</v>
      </c>
      <c r="K7" s="13" t="s">
        <v>65</v>
      </c>
      <c r="L7" s="13" t="s">
        <v>63</v>
      </c>
      <c r="M7" s="13" t="s">
        <v>61</v>
      </c>
      <c r="N7" s="13" t="s">
        <v>63</v>
      </c>
      <c r="O7" s="13" t="s">
        <v>66</v>
      </c>
      <c r="P7" s="13" t="s">
        <v>60</v>
      </c>
      <c r="Q7" s="13" t="s">
        <v>64</v>
      </c>
      <c r="R7" s="13" t="s">
        <v>61</v>
      </c>
      <c r="S7" s="13" t="s">
        <v>63</v>
      </c>
      <c r="T7" s="13" t="s">
        <v>64</v>
      </c>
      <c r="U7" s="13" t="s">
        <v>67</v>
      </c>
      <c r="V7" s="13" t="s">
        <v>62</v>
      </c>
      <c r="W7" s="13" t="s">
        <v>61</v>
      </c>
      <c r="X7" s="13" t="s">
        <v>63</v>
      </c>
      <c r="Y7" s="13" t="s">
        <v>60</v>
      </c>
      <c r="Z7" s="13" t="s">
        <v>63</v>
      </c>
      <c r="AA7" s="13" t="s">
        <v>64</v>
      </c>
      <c r="AB7" s="13" t="s">
        <v>62</v>
      </c>
      <c r="AC7" s="13" t="s">
        <v>60</v>
      </c>
      <c r="AD7" s="13" t="s">
        <v>64</v>
      </c>
      <c r="AE7" s="13" t="s">
        <v>60</v>
      </c>
      <c r="AF7" s="13" t="s">
        <v>61</v>
      </c>
      <c r="AG7" s="13" t="s">
        <v>64</v>
      </c>
      <c r="AH7" s="13" t="s">
        <v>63</v>
      </c>
      <c r="AI7" s="13" t="s">
        <v>65</v>
      </c>
      <c r="AJ7" s="13" t="s">
        <v>64</v>
      </c>
      <c r="AK7" s="13" t="s">
        <v>61</v>
      </c>
      <c r="AL7" s="13" t="s">
        <v>63</v>
      </c>
      <c r="AM7" s="13" t="s">
        <v>63</v>
      </c>
      <c r="AN7" s="13" t="s">
        <v>65</v>
      </c>
      <c r="AO7" s="13" t="s">
        <v>61</v>
      </c>
      <c r="AP7" s="13" t="s">
        <v>60</v>
      </c>
      <c r="AQ7" s="13" t="s">
        <v>60</v>
      </c>
      <c r="AR7" s="13" t="s">
        <v>67</v>
      </c>
    </row>
    <row r="8">
      <c r="A8" s="10">
        <v>2.02390369E9</v>
      </c>
      <c r="B8" s="10" t="s">
        <v>68</v>
      </c>
      <c r="C8" s="10" t="s">
        <v>69</v>
      </c>
      <c r="D8" s="12">
        <f>IF(OR(UPPER(E8)="A",UPPER(E8)="B"),E4,0)+IF(UPPER(F8)=UPPER(F5),F4,0)+IF(G8="",0,IF(LEN(SUBSTITUTE(SUBSTITUTE(UPPER(G8),"C",""),"D",""))&gt;0,0,IF(AND(ISNUMBER(FIND("C",UPPER(G8))),ISNUMBER(FIND("D",UPPER(G8)))),G4,G4/2)))+IF(UPPER(H8)=UPPER(H5),H4,0)+IF(UPPER(I8)=UPPER(I5),I4,0)+IF(UPPER(J8)=UPPER(J5),J4,0)+IF(K8="",0,IF(LEN(SUBSTITUTE(SUBSTITUTE(UPPER(K8),"A",""),"C",""))&gt;0,0,IF(AND(ISNUMBER(FIND("A",UPPER(K8))),ISNUMBER(FIND("C",UPPER(K8)))),K4,K4/2)))+IF(UPPER(L8)=UPPER(L5),L4,0)+IF(UPPER(M8)=UPPER(M5),M4,0)+IF(UPPER(N8)=UPPER(N5),N4,0)+IF(O8="",0,IF(LEN(SUBSTITUTE(SUBSTITUTE(UPPER(O8),"A",""),"B",""))&gt;0,0,IF(AND(ISNUMBER(FIND("A",UPPER(O8))),ISNUMBER(FIND("B",UPPER(O8)))),O4,O4/2)))+IF(UPPER(P8)=UPPER(P5),P4,0)+IF(UPPER(Q8)=UPPER(Q5),Q4,0)+IF(UPPER(R8)=UPPER(R5),R4,0)+IF(UPPER(S8)=UPPER(S5),S4,0)+IF(UPPER(T8)=UPPER(T5),T4,0)+IF(U8="",0,IF(LEN(SUBSTITUTE(SUBSTITUTE(UPPER(U8),"A",""),"D",""))&gt;0,0,IF(AND(ISNUMBER(FIND("A",UPPER(U8))),ISNUMBER(FIND("D",UPPER(U8)))),U4,U4/2)))+IF(V8="",0,IF(LEN(SUBSTITUTE(SUBSTITUTE(UPPER(V8),"C",""),"D",""))&gt;0,0,IF(AND(ISNUMBER(FIND("C",UPPER(V8))),ISNUMBER(FIND("D",UPPER(V8)))),V4,V4/2)))+IF(UPPER(W8)=UPPER(W5),W4,0)+IF(UPPER(X8)=UPPER(X5),X4,0)+IF(UPPER(Y8)=UPPER(Y5),Y4,0)+IF(UPPER(Z8)=UPPER(Z5),Z4,0)+IF(AA8="",0,IF(LEN(SUBSTITUTE(SUBSTITUTE(UPPER(AA8),"C",""),"D",""))&gt;0,0,IF(AND(ISNUMBER(FIND("C",UPPER(AA8))),ISNUMBER(FIND("D",UPPER(AA8)))),AA4,AA4/2)))+IF(AB8="",0,IF(LEN(SUBSTITUTE(SUBSTITUTE(UPPER(AB8),"C",""),"D",""))&gt;0,0,IF(AND(ISNUMBER(FIND("C",UPPER(AB8))),ISNUMBER(FIND("D",UPPER(AB8)))),AB4,AB4/2)))+IF(UPPER(AC8)=UPPER(AC5),AC4,0)+IF(UPPER(AD8)=UPPER(AD5),AD4,0)+IF(UPPER(AE8)=UPPER(AE5),AE4,0)+IF(UPPER(AF8)=UPPER(AF5),AF4,0)+IF(UPPER(AG8)=UPPER(AG5),AG4,0)+IF(UPPER(AH8)=UPPER(AH5),AH4,0)+IF(AI8="",0,IF(LEN(SUBSTITUTE(SUBSTITUTE(UPPER(AI8),"A",""),"C",""))&gt;0,0,IF(AND(ISNUMBER(FIND("A",UPPER(AI8))),ISNUMBER(FIND("C",UPPER(AI8)))),AI4,AI4/2)))+IF(UPPER(AJ8)=UPPER(AJ5),AJ4,0)+IF(UPPER(AK8)=UPPER(AK5),AK4,0)+IF(UPPER(AL8)=UPPER(AL5),AL4,0)+IF(UPPER(AM8)=UPPER(AM5),AM4,0)+IF(AN8="",0,IF(LEN(SUBSTITUTE(SUBSTITUTE(UPPER(AN8),"A",""),"C",""))&gt;0,0,IF(AND(ISNUMBER(FIND("A",UPPER(AN8))),ISNUMBER(FIND("C",UPPER(AN8)))),AN4,AN4/2)))+IF(UPPER(AO8)=UPPER(AO5),AO4,0)+IF(UPPER(AP8)=UPPER(AP5),AP4,0)+IF(OR(UPPER(AQ8)="A",UPPER(AQ8)="B"),AQ4,0)+IF(AR8="",0,IF(LEN(SUBSTITUTE(SUBSTITUTE(UPPER(AR8),"A",""),"D",""))&gt;0,0,IF(AND(ISNUMBER(FIND("A",UPPER(AR8))),ISNUMBER(FIND("D",UPPER(AR8)))),AR4,AR4/2)))</f>
        <v>85</v>
      </c>
      <c r="E8" s="13" t="s">
        <v>61</v>
      </c>
      <c r="F8" s="13" t="s">
        <v>61</v>
      </c>
      <c r="G8" s="13" t="s">
        <v>65</v>
      </c>
      <c r="H8" s="13" t="s">
        <v>63</v>
      </c>
      <c r="I8" s="13" t="s">
        <v>60</v>
      </c>
      <c r="J8" s="13" t="s">
        <v>64</v>
      </c>
      <c r="K8" s="13" t="s">
        <v>65</v>
      </c>
      <c r="L8" s="13" t="s">
        <v>63</v>
      </c>
      <c r="M8" s="13" t="s">
        <v>61</v>
      </c>
      <c r="N8" s="13" t="s">
        <v>63</v>
      </c>
      <c r="O8" s="13" t="s">
        <v>66</v>
      </c>
      <c r="P8" s="13" t="s">
        <v>60</v>
      </c>
      <c r="Q8" s="13" t="s">
        <v>64</v>
      </c>
      <c r="R8" s="13" t="s">
        <v>61</v>
      </c>
      <c r="S8" s="13" t="s">
        <v>60</v>
      </c>
      <c r="T8" s="13" t="s">
        <v>64</v>
      </c>
      <c r="U8" s="13" t="s">
        <v>67</v>
      </c>
      <c r="V8" s="13" t="s">
        <v>65</v>
      </c>
      <c r="W8" s="13" t="s">
        <v>61</v>
      </c>
      <c r="X8" s="13" t="s">
        <v>63</v>
      </c>
      <c r="Y8" s="13" t="s">
        <v>60</v>
      </c>
      <c r="Z8" s="13" t="s">
        <v>63</v>
      </c>
      <c r="AA8" s="13" t="s">
        <v>62</v>
      </c>
      <c r="AB8" s="13" t="s">
        <v>70</v>
      </c>
      <c r="AC8" s="13" t="s">
        <v>60</v>
      </c>
      <c r="AD8" s="13" t="s">
        <v>64</v>
      </c>
      <c r="AE8" s="13" t="s">
        <v>60</v>
      </c>
      <c r="AF8" s="13" t="s">
        <v>61</v>
      </c>
      <c r="AG8" s="13" t="s">
        <v>64</v>
      </c>
      <c r="AH8" s="13" t="s">
        <v>63</v>
      </c>
      <c r="AI8" s="13" t="s">
        <v>70</v>
      </c>
      <c r="AJ8" s="13" t="s">
        <v>64</v>
      </c>
      <c r="AK8" s="13" t="s">
        <v>61</v>
      </c>
      <c r="AL8" s="13" t="s">
        <v>63</v>
      </c>
      <c r="AM8" s="13" t="s">
        <v>63</v>
      </c>
      <c r="AN8" s="13" t="s">
        <v>65</v>
      </c>
      <c r="AO8" s="13" t="s">
        <v>60</v>
      </c>
      <c r="AP8" s="13" t="s">
        <v>60</v>
      </c>
      <c r="AQ8" s="13" t="s">
        <v>60</v>
      </c>
      <c r="AR8" s="13" t="s">
        <v>67</v>
      </c>
    </row>
    <row r="9">
      <c r="A9" s="10">
        <v>2.02390399E9</v>
      </c>
      <c r="B9" s="10" t="s">
        <v>71</v>
      </c>
      <c r="C9" s="10" t="s">
        <v>72</v>
      </c>
      <c r="D9" s="12">
        <f>IF(OR(UPPER(E9)="A",UPPER(E9)="B"),E4,0)+IF(UPPER(F9)=UPPER(F5),F4,0)+IF(G9="",0,IF(LEN(SUBSTITUTE(SUBSTITUTE(UPPER(G9),"C",""),"D",""))&gt;0,0,IF(AND(ISNUMBER(FIND("C",UPPER(G9))),ISNUMBER(FIND("D",UPPER(G9)))),G4,G4/2)))+IF(UPPER(H9)=UPPER(H5),H4,0)+IF(UPPER(I9)=UPPER(I5),I4,0)+IF(UPPER(J9)=UPPER(J5),J4,0)+IF(K9="",0,IF(LEN(SUBSTITUTE(SUBSTITUTE(UPPER(K9),"A",""),"C",""))&gt;0,0,IF(AND(ISNUMBER(FIND("A",UPPER(K9))),ISNUMBER(FIND("C",UPPER(K9)))),K4,K4/2)))+IF(UPPER(L9)=UPPER(L5),L4,0)+IF(UPPER(M9)=UPPER(M5),M4,0)+IF(UPPER(N9)=UPPER(N5),N4,0)+IF(O9="",0,IF(LEN(SUBSTITUTE(SUBSTITUTE(UPPER(O9),"A",""),"B",""))&gt;0,0,IF(AND(ISNUMBER(FIND("A",UPPER(O9))),ISNUMBER(FIND("B",UPPER(O9)))),O4,O4/2)))+IF(UPPER(P9)=UPPER(P5),P4,0)+IF(UPPER(Q9)=UPPER(Q5),Q4,0)+IF(UPPER(R9)=UPPER(R5),R4,0)+IF(UPPER(S9)=UPPER(S5),S4,0)+IF(UPPER(T9)=UPPER(T5),T4,0)+IF(U9="",0,IF(LEN(SUBSTITUTE(SUBSTITUTE(UPPER(U9),"A",""),"D",""))&gt;0,0,IF(AND(ISNUMBER(FIND("A",UPPER(U9))),ISNUMBER(FIND("D",UPPER(U9)))),U4,U4/2)))+IF(V9="",0,IF(LEN(SUBSTITUTE(SUBSTITUTE(UPPER(V9),"C",""),"D",""))&gt;0,0,IF(AND(ISNUMBER(FIND("C",UPPER(V9))),ISNUMBER(FIND("D",UPPER(V9)))),V4,V4/2)))+IF(UPPER(W9)=UPPER(W5),W4,0)+IF(UPPER(X9)=UPPER(X5),X4,0)+IF(UPPER(Y9)=UPPER(Y5),Y4,0)+IF(UPPER(Z9)=UPPER(Z5),Z4,0)+IF(AA9="",0,IF(LEN(SUBSTITUTE(SUBSTITUTE(UPPER(AA9),"C",""),"D",""))&gt;0,0,IF(AND(ISNUMBER(FIND("C",UPPER(AA9))),ISNUMBER(FIND("D",UPPER(AA9)))),AA4,AA4/2)))+IF(AB9="",0,IF(LEN(SUBSTITUTE(SUBSTITUTE(UPPER(AB9),"C",""),"D",""))&gt;0,0,IF(AND(ISNUMBER(FIND("C",UPPER(AB9))),ISNUMBER(FIND("D",UPPER(AB9)))),AB4,AB4/2)))+IF(UPPER(AC9)=UPPER(AC5),AC4,0)+IF(UPPER(AD9)=UPPER(AD5),AD4,0)+IF(UPPER(AE9)=UPPER(AE5),AE4,0)+IF(UPPER(AF9)=UPPER(AF5),AF4,0)+IF(UPPER(AG9)=UPPER(AG5),AG4,0)+IF(UPPER(AH9)=UPPER(AH5),AH4,0)+IF(AI9="",0,IF(LEN(SUBSTITUTE(SUBSTITUTE(UPPER(AI9),"A",""),"C",""))&gt;0,0,IF(AND(ISNUMBER(FIND("A",UPPER(AI9))),ISNUMBER(FIND("C",UPPER(AI9)))),AI4,AI4/2)))+IF(UPPER(AJ9)=UPPER(AJ5),AJ4,0)+IF(UPPER(AK9)=UPPER(AK5),AK4,0)+IF(UPPER(AL9)=UPPER(AL5),AL4,0)+IF(UPPER(AM9)=UPPER(AM5),AM4,0)+IF(AN9="",0,IF(LEN(SUBSTITUTE(SUBSTITUTE(UPPER(AN9),"A",""),"C",""))&gt;0,0,IF(AND(ISNUMBER(FIND("A",UPPER(AN9))),ISNUMBER(FIND("C",UPPER(AN9)))),AN4,AN4/2)))+IF(UPPER(AO9)=UPPER(AO5),AO4,0)+IF(UPPER(AP9)=UPPER(AP5),AP4,0)+IF(OR(UPPER(AQ9)="A",UPPER(AQ9)="B"),AQ4,0)+IF(AR9="",0,IF(LEN(SUBSTITUTE(SUBSTITUTE(UPPER(AR9),"A",""),"D",""))&gt;0,0,IF(AND(ISNUMBER(FIND("A",UPPER(AR9))),ISNUMBER(FIND("D",UPPER(AR9)))),AR4,AR4/2)))</f>
        <v>55</v>
      </c>
      <c r="E9" s="13" t="s">
        <v>64</v>
      </c>
      <c r="F9" s="13" t="s">
        <v>61</v>
      </c>
      <c r="G9" s="13" t="s">
        <v>73</v>
      </c>
      <c r="H9" s="13" t="s">
        <v>64</v>
      </c>
      <c r="I9" s="13" t="s">
        <v>61</v>
      </c>
      <c r="J9" s="13" t="s">
        <v>61</v>
      </c>
      <c r="K9" s="13" t="s">
        <v>65</v>
      </c>
      <c r="L9" s="13" t="s">
        <v>63</v>
      </c>
      <c r="M9" s="13" t="s">
        <v>61</v>
      </c>
      <c r="N9" s="13" t="s">
        <v>64</v>
      </c>
      <c r="O9" s="13" t="s">
        <v>66</v>
      </c>
      <c r="P9" s="13" t="s">
        <v>64</v>
      </c>
      <c r="Q9" s="13" t="s">
        <v>64</v>
      </c>
      <c r="R9" s="13" t="s">
        <v>61</v>
      </c>
      <c r="S9" s="13" t="s">
        <v>60</v>
      </c>
      <c r="T9" s="13" t="s">
        <v>60</v>
      </c>
      <c r="U9" s="13" t="s">
        <v>65</v>
      </c>
      <c r="V9" s="13" t="s">
        <v>66</v>
      </c>
      <c r="W9" s="13" t="s">
        <v>63</v>
      </c>
      <c r="X9" s="13" t="s">
        <v>61</v>
      </c>
      <c r="Y9" s="13" t="s">
        <v>61</v>
      </c>
      <c r="Z9" s="13" t="s">
        <v>60</v>
      </c>
      <c r="AA9" s="13" t="s">
        <v>66</v>
      </c>
      <c r="AB9" s="13" t="s">
        <v>74</v>
      </c>
      <c r="AC9" s="13" t="s">
        <v>60</v>
      </c>
      <c r="AD9" s="13" t="s">
        <v>64</v>
      </c>
      <c r="AE9" s="13" t="s">
        <v>60</v>
      </c>
      <c r="AF9" s="13" t="s">
        <v>61</v>
      </c>
      <c r="AG9" s="13" t="s">
        <v>64</v>
      </c>
      <c r="AH9" s="13" t="s">
        <v>63</v>
      </c>
      <c r="AI9" s="13" t="s">
        <v>65</v>
      </c>
      <c r="AJ9" s="13" t="s">
        <v>64</v>
      </c>
      <c r="AK9" s="13" t="s">
        <v>61</v>
      </c>
      <c r="AL9" s="13" t="s">
        <v>63</v>
      </c>
      <c r="AM9" s="13" t="s">
        <v>60</v>
      </c>
      <c r="AN9" s="13" t="s">
        <v>65</v>
      </c>
      <c r="AO9" s="13" t="s">
        <v>61</v>
      </c>
      <c r="AP9" s="13" t="s">
        <v>60</v>
      </c>
      <c r="AQ9" s="13" t="s">
        <v>60</v>
      </c>
      <c r="AR9" s="13" t="s">
        <v>67</v>
      </c>
    </row>
    <row r="10">
      <c r="A10" s="10">
        <v>2.023902791E9</v>
      </c>
      <c r="B10" s="10" t="s">
        <v>75</v>
      </c>
      <c r="C10" s="10" t="s">
        <v>76</v>
      </c>
      <c r="D10" s="12">
        <f>IF(OR(UPPER(E10)="A",UPPER(E10)="B"),E4,0)+IF(UPPER(F10)=UPPER(F5),F4,0)+IF(G10="",0,IF(LEN(SUBSTITUTE(SUBSTITUTE(UPPER(G10),"C",""),"D",""))&gt;0,0,IF(AND(ISNUMBER(FIND("C",UPPER(G10))),ISNUMBER(FIND("D",UPPER(G10)))),G4,G4/2)))+IF(UPPER(H10)=UPPER(H5),H4,0)+IF(UPPER(I10)=UPPER(I5),I4,0)+IF(UPPER(J10)=UPPER(J5),J4,0)+IF(K10="",0,IF(LEN(SUBSTITUTE(SUBSTITUTE(UPPER(K10),"A",""),"C",""))&gt;0,0,IF(AND(ISNUMBER(FIND("A",UPPER(K10))),ISNUMBER(FIND("C",UPPER(K10)))),K4,K4/2)))+IF(UPPER(L10)=UPPER(L5),L4,0)+IF(UPPER(M10)=UPPER(M5),M4,0)+IF(UPPER(N10)=UPPER(N5),N4,0)+IF(O10="",0,IF(LEN(SUBSTITUTE(SUBSTITUTE(UPPER(O10),"A",""),"B",""))&gt;0,0,IF(AND(ISNUMBER(FIND("A",UPPER(O10))),ISNUMBER(FIND("B",UPPER(O10)))),O4,O4/2)))+IF(UPPER(P10)=UPPER(P5),P4,0)+IF(UPPER(Q10)=UPPER(Q5),Q4,0)+IF(UPPER(R10)=UPPER(R5),R4,0)+IF(UPPER(S10)=UPPER(S5),S4,0)+IF(UPPER(T10)=UPPER(T5),T4,0)+IF(U10="",0,IF(LEN(SUBSTITUTE(SUBSTITUTE(UPPER(U10),"A",""),"D",""))&gt;0,0,IF(AND(ISNUMBER(FIND("A",UPPER(U10))),ISNUMBER(FIND("D",UPPER(U10)))),U4,U4/2)))+IF(V10="",0,IF(LEN(SUBSTITUTE(SUBSTITUTE(UPPER(V10),"C",""),"D",""))&gt;0,0,IF(AND(ISNUMBER(FIND("C",UPPER(V10))),ISNUMBER(FIND("D",UPPER(V10)))),V4,V4/2)))+IF(UPPER(W10)=UPPER(W5),W4,0)+IF(UPPER(X10)=UPPER(X5),X4,0)+IF(UPPER(Y10)=UPPER(Y5),Y4,0)+IF(UPPER(Z10)=UPPER(Z5),Z4,0)+IF(AA10="",0,IF(LEN(SUBSTITUTE(SUBSTITUTE(UPPER(AA10),"C",""),"D",""))&gt;0,0,IF(AND(ISNUMBER(FIND("C",UPPER(AA10))),ISNUMBER(FIND("D",UPPER(AA10)))),AA4,AA4/2)))+IF(AB10="",0,IF(LEN(SUBSTITUTE(SUBSTITUTE(UPPER(AB10),"C",""),"D",""))&gt;0,0,IF(AND(ISNUMBER(FIND("C",UPPER(AB10))),ISNUMBER(FIND("D",UPPER(AB10)))),AB4,AB4/2)))+IF(UPPER(AC10)=UPPER(AC5),AC4,0)+IF(UPPER(AD10)=UPPER(AD5),AD4,0)+IF(UPPER(AE10)=UPPER(AE5),AE4,0)+IF(UPPER(AF10)=UPPER(AF5),AF4,0)+IF(UPPER(AG10)=UPPER(AG5),AG4,0)+IF(UPPER(AH10)=UPPER(AH5),AH4,0)+IF(AI10="",0,IF(LEN(SUBSTITUTE(SUBSTITUTE(UPPER(AI10),"A",""),"C",""))&gt;0,0,IF(AND(ISNUMBER(FIND("A",UPPER(AI10))),ISNUMBER(FIND("C",UPPER(AI10)))),AI4,AI4/2)))+IF(UPPER(AJ10)=UPPER(AJ5),AJ4,0)+IF(UPPER(AK10)=UPPER(AK5),AK4,0)+IF(UPPER(AL10)=UPPER(AL5),AL4,0)+IF(UPPER(AM10)=UPPER(AM5),AM4,0)+IF(AN10="",0,IF(LEN(SUBSTITUTE(SUBSTITUTE(UPPER(AN10),"A",""),"C",""))&gt;0,0,IF(AND(ISNUMBER(FIND("A",UPPER(AN10))),ISNUMBER(FIND("C",UPPER(AN10)))),AN4,AN4/2)))+IF(UPPER(AO10)=UPPER(AO5),AO4,0)+IF(UPPER(AP10)=UPPER(AP5),AP4,0)+IF(OR(UPPER(AQ10)="A",UPPER(AQ10)="B"),AQ4,0)+IF(AR10="",0,IF(LEN(SUBSTITUTE(SUBSTITUTE(UPPER(AR10),"A",""),"D",""))&gt;0,0,IF(AND(ISNUMBER(FIND("A",UPPER(AR10))),ISNUMBER(FIND("D",UPPER(AR10)))),AR4,AR4/2)))</f>
        <v>43.75</v>
      </c>
      <c r="E10" s="13" t="s">
        <v>63</v>
      </c>
      <c r="F10" s="13" t="s">
        <v>61</v>
      </c>
      <c r="G10" s="13" t="s">
        <v>63</v>
      </c>
      <c r="H10" s="13" t="s">
        <v>63</v>
      </c>
      <c r="I10" s="13" t="s">
        <v>61</v>
      </c>
      <c r="J10" s="13" t="s">
        <v>60</v>
      </c>
      <c r="K10" s="13" t="s">
        <v>70</v>
      </c>
      <c r="L10" s="13" t="s">
        <v>60</v>
      </c>
      <c r="M10" s="13" t="s">
        <v>60</v>
      </c>
      <c r="N10" s="13" t="s">
        <v>64</v>
      </c>
      <c r="O10" s="13" t="s">
        <v>66</v>
      </c>
      <c r="P10" s="13" t="s">
        <v>63</v>
      </c>
      <c r="Q10" s="13" t="s">
        <v>64</v>
      </c>
      <c r="R10" s="13" t="s">
        <v>61</v>
      </c>
      <c r="S10" s="13" t="s">
        <v>63</v>
      </c>
      <c r="T10" s="13" t="s">
        <v>64</v>
      </c>
      <c r="U10" s="13" t="s">
        <v>70</v>
      </c>
      <c r="V10" s="13" t="s">
        <v>60</v>
      </c>
      <c r="W10" s="13" t="s">
        <v>64</v>
      </c>
      <c r="X10" s="13" t="s">
        <v>63</v>
      </c>
      <c r="Y10" s="13" t="s">
        <v>60</v>
      </c>
      <c r="Z10" s="13" t="s">
        <v>63</v>
      </c>
      <c r="AA10" s="13" t="s">
        <v>65</v>
      </c>
      <c r="AB10" s="13" t="s">
        <v>73</v>
      </c>
      <c r="AC10" s="13" t="s">
        <v>64</v>
      </c>
      <c r="AD10" s="13" t="s">
        <v>64</v>
      </c>
      <c r="AE10" s="13" t="s">
        <v>60</v>
      </c>
      <c r="AF10" s="13" t="s">
        <v>61</v>
      </c>
      <c r="AG10" s="13" t="s">
        <v>64</v>
      </c>
      <c r="AH10" s="13" t="s">
        <v>61</v>
      </c>
      <c r="AI10" s="13" t="s">
        <v>73</v>
      </c>
      <c r="AJ10" s="13" t="s">
        <v>63</v>
      </c>
      <c r="AK10" s="13" t="s">
        <v>63</v>
      </c>
      <c r="AL10" s="13" t="s">
        <v>61</v>
      </c>
      <c r="AM10" s="13" t="s">
        <v>60</v>
      </c>
      <c r="AN10" s="13" t="s">
        <v>65</v>
      </c>
      <c r="AO10" s="13" t="s">
        <v>61</v>
      </c>
      <c r="AP10" s="13" t="s">
        <v>61</v>
      </c>
      <c r="AQ10" s="13" t="s">
        <v>63</v>
      </c>
      <c r="AR10" s="13" t="s">
        <v>67</v>
      </c>
    </row>
    <row r="11">
      <c r="A11" s="10">
        <v>2.023900902E9</v>
      </c>
      <c r="B11" s="10" t="s">
        <v>77</v>
      </c>
      <c r="C11" s="10" t="s">
        <v>78</v>
      </c>
      <c r="D11" s="12">
        <f>IF(OR(UPPER(E11)="A",UPPER(E11)="B"),E4,0)+IF(UPPER(F11)=UPPER(F5),F4,0)+IF(G11="",0,IF(LEN(SUBSTITUTE(SUBSTITUTE(UPPER(G11),"C",""),"D",""))&gt;0,0,IF(AND(ISNUMBER(FIND("C",UPPER(G11))),ISNUMBER(FIND("D",UPPER(G11)))),G4,G4/2)))+IF(UPPER(H11)=UPPER(H5),H4,0)+IF(UPPER(I11)=UPPER(I5),I4,0)+IF(UPPER(J11)=UPPER(J5),J4,0)+IF(K11="",0,IF(LEN(SUBSTITUTE(SUBSTITUTE(UPPER(K11),"A",""),"C",""))&gt;0,0,IF(AND(ISNUMBER(FIND("A",UPPER(K11))),ISNUMBER(FIND("C",UPPER(K11)))),K4,K4/2)))+IF(UPPER(L11)=UPPER(L5),L4,0)+IF(UPPER(M11)=UPPER(M5),M4,0)+IF(UPPER(N11)=UPPER(N5),N4,0)+IF(O11="",0,IF(LEN(SUBSTITUTE(SUBSTITUTE(UPPER(O11),"A",""),"B",""))&gt;0,0,IF(AND(ISNUMBER(FIND("A",UPPER(O11))),ISNUMBER(FIND("B",UPPER(O11)))),O4,O4/2)))+IF(UPPER(P11)=UPPER(P5),P4,0)+IF(UPPER(Q11)=UPPER(Q5),Q4,0)+IF(UPPER(R11)=UPPER(R5),R4,0)+IF(UPPER(S11)=UPPER(S5),S4,0)+IF(UPPER(T11)=UPPER(T5),T4,0)+IF(U11="",0,IF(LEN(SUBSTITUTE(SUBSTITUTE(UPPER(U11),"A",""),"D",""))&gt;0,0,IF(AND(ISNUMBER(FIND("A",UPPER(U11))),ISNUMBER(FIND("D",UPPER(U11)))),U4,U4/2)))+IF(V11="",0,IF(LEN(SUBSTITUTE(SUBSTITUTE(UPPER(V11),"C",""),"D",""))&gt;0,0,IF(AND(ISNUMBER(FIND("C",UPPER(V11))),ISNUMBER(FIND("D",UPPER(V11)))),V4,V4/2)))+IF(UPPER(W11)=UPPER(W5),W4,0)+IF(UPPER(X11)=UPPER(X5),X4,0)+IF(UPPER(Y11)=UPPER(Y5),Y4,0)+IF(UPPER(Z11)=UPPER(Z5),Z4,0)+IF(AA11="",0,IF(LEN(SUBSTITUTE(SUBSTITUTE(UPPER(AA11),"C",""),"D",""))&gt;0,0,IF(AND(ISNUMBER(FIND("C",UPPER(AA11))),ISNUMBER(FIND("D",UPPER(AA11)))),AA4,AA4/2)))+IF(AB11="",0,IF(LEN(SUBSTITUTE(SUBSTITUTE(UPPER(AB11),"C",""),"D",""))&gt;0,0,IF(AND(ISNUMBER(FIND("C",UPPER(AB11))),ISNUMBER(FIND("D",UPPER(AB11)))),AB4,AB4/2)))+IF(UPPER(AC11)=UPPER(AC5),AC4,0)+IF(UPPER(AD11)=UPPER(AD5),AD4,0)+IF(UPPER(AE11)=UPPER(AE5),AE4,0)+IF(UPPER(AF11)=UPPER(AF5),AF4,0)+IF(UPPER(AG11)=UPPER(AG5),AG4,0)+IF(UPPER(AH11)=UPPER(AH5),AH4,0)+IF(AI11="",0,IF(LEN(SUBSTITUTE(SUBSTITUTE(UPPER(AI11),"A",""),"C",""))&gt;0,0,IF(AND(ISNUMBER(FIND("A",UPPER(AI11))),ISNUMBER(FIND("C",UPPER(AI11)))),AI4,AI4/2)))+IF(UPPER(AJ11)=UPPER(AJ5),AJ4,0)+IF(UPPER(AK11)=UPPER(AK5),AK4,0)+IF(UPPER(AL11)=UPPER(AL5),AL4,0)+IF(UPPER(AM11)=UPPER(AM5),AM4,0)+IF(AN11="",0,IF(LEN(SUBSTITUTE(SUBSTITUTE(UPPER(AN11),"A",""),"C",""))&gt;0,0,IF(AND(ISNUMBER(FIND("A",UPPER(AN11))),ISNUMBER(FIND("C",UPPER(AN11)))),AN4,AN4/2)))+IF(UPPER(AO11)=UPPER(AO5),AO4,0)+IF(UPPER(AP11)=UPPER(AP5),AP4,0)+IF(OR(UPPER(AQ11)="A",UPPER(AQ11)="B"),AQ4,0)+IF(AR11="",0,IF(LEN(SUBSTITUTE(SUBSTITUTE(UPPER(AR11),"A",""),"D",""))&gt;0,0,IF(AND(ISNUMBER(FIND("A",UPPER(AR11))),ISNUMBER(FIND("D",UPPER(AR11)))),AR4,AR4/2)))</f>
        <v>86.25</v>
      </c>
      <c r="E11" s="13" t="s">
        <v>61</v>
      </c>
      <c r="F11" s="13" t="s">
        <v>61</v>
      </c>
      <c r="G11" s="13" t="s">
        <v>63</v>
      </c>
      <c r="H11" s="13" t="s">
        <v>63</v>
      </c>
      <c r="I11" s="13" t="s">
        <v>60</v>
      </c>
      <c r="J11" s="13" t="s">
        <v>64</v>
      </c>
      <c r="K11" s="13" t="s">
        <v>63</v>
      </c>
      <c r="L11" s="13" t="s">
        <v>63</v>
      </c>
      <c r="M11" s="13" t="s">
        <v>61</v>
      </c>
      <c r="N11" s="13" t="s">
        <v>63</v>
      </c>
      <c r="O11" s="13" t="s">
        <v>66</v>
      </c>
      <c r="P11" s="13" t="s">
        <v>60</v>
      </c>
      <c r="Q11" s="13" t="s">
        <v>64</v>
      </c>
      <c r="R11" s="13" t="s">
        <v>61</v>
      </c>
      <c r="S11" s="13" t="s">
        <v>63</v>
      </c>
      <c r="T11" s="13" t="s">
        <v>64</v>
      </c>
      <c r="U11" s="13" t="s">
        <v>67</v>
      </c>
      <c r="V11" s="13" t="s">
        <v>62</v>
      </c>
      <c r="W11" s="13" t="s">
        <v>63</v>
      </c>
      <c r="X11" s="13" t="s">
        <v>63</v>
      </c>
      <c r="Y11" s="13" t="s">
        <v>60</v>
      </c>
      <c r="Z11" s="13" t="s">
        <v>61</v>
      </c>
      <c r="AA11" s="13" t="s">
        <v>66</v>
      </c>
      <c r="AB11" s="13" t="s">
        <v>63</v>
      </c>
      <c r="AC11" s="13" t="s">
        <v>60</v>
      </c>
      <c r="AD11" s="13" t="s">
        <v>64</v>
      </c>
      <c r="AE11" s="13" t="s">
        <v>60</v>
      </c>
      <c r="AF11" s="13" t="s">
        <v>61</v>
      </c>
      <c r="AG11" s="13" t="s">
        <v>64</v>
      </c>
      <c r="AH11" s="13" t="s">
        <v>63</v>
      </c>
      <c r="AI11" s="13" t="s">
        <v>70</v>
      </c>
      <c r="AJ11" s="13" t="s">
        <v>64</v>
      </c>
      <c r="AK11" s="13" t="s">
        <v>61</v>
      </c>
      <c r="AL11" s="13" t="s">
        <v>63</v>
      </c>
      <c r="AM11" s="13" t="s">
        <v>63</v>
      </c>
      <c r="AN11" s="13" t="s">
        <v>65</v>
      </c>
      <c r="AO11" s="13" t="s">
        <v>61</v>
      </c>
      <c r="AP11" s="13" t="s">
        <v>60</v>
      </c>
      <c r="AQ11" s="13" t="s">
        <v>61</v>
      </c>
      <c r="AR11" s="13" t="s">
        <v>67</v>
      </c>
    </row>
    <row r="12">
      <c r="A12" s="10">
        <v>2.023905333E9</v>
      </c>
      <c r="B12" s="10" t="s">
        <v>79</v>
      </c>
      <c r="C12" s="10" t="s">
        <v>80</v>
      </c>
      <c r="D12" s="12">
        <f>IF(OR(UPPER(E12)="A",UPPER(E12)="B"),E4,0)+IF(UPPER(F12)=UPPER(F5),F4,0)+IF(G12="",0,IF(LEN(SUBSTITUTE(SUBSTITUTE(UPPER(G12),"C",""),"D",""))&gt;0,0,IF(AND(ISNUMBER(FIND("C",UPPER(G12))),ISNUMBER(FIND("D",UPPER(G12)))),G4,G4/2)))+IF(UPPER(H12)=UPPER(H5),H4,0)+IF(UPPER(I12)=UPPER(I5),I4,0)+IF(UPPER(J12)=UPPER(J5),J4,0)+IF(K12="",0,IF(LEN(SUBSTITUTE(SUBSTITUTE(UPPER(K12),"A",""),"C",""))&gt;0,0,IF(AND(ISNUMBER(FIND("A",UPPER(K12))),ISNUMBER(FIND("C",UPPER(K12)))),K4,K4/2)))+IF(UPPER(L12)=UPPER(L5),L4,0)+IF(UPPER(M12)=UPPER(M5),M4,0)+IF(UPPER(N12)=UPPER(N5),N4,0)+IF(O12="",0,IF(LEN(SUBSTITUTE(SUBSTITUTE(UPPER(O12),"A",""),"B",""))&gt;0,0,IF(AND(ISNUMBER(FIND("A",UPPER(O12))),ISNUMBER(FIND("B",UPPER(O12)))),O4,O4/2)))+IF(UPPER(P12)=UPPER(P5),P4,0)+IF(UPPER(Q12)=UPPER(Q5),Q4,0)+IF(UPPER(R12)=UPPER(R5),R4,0)+IF(UPPER(S12)=UPPER(S5),S4,0)+IF(UPPER(T12)=UPPER(T5),T4,0)+IF(U12="",0,IF(LEN(SUBSTITUTE(SUBSTITUTE(UPPER(U12),"A",""),"D",""))&gt;0,0,IF(AND(ISNUMBER(FIND("A",UPPER(U12))),ISNUMBER(FIND("D",UPPER(U12)))),U4,U4/2)))+IF(V12="",0,IF(LEN(SUBSTITUTE(SUBSTITUTE(UPPER(V12),"C",""),"D",""))&gt;0,0,IF(AND(ISNUMBER(FIND("C",UPPER(V12))),ISNUMBER(FIND("D",UPPER(V12)))),V4,V4/2)))+IF(UPPER(W12)=UPPER(W5),W4,0)+IF(UPPER(X12)=UPPER(X5),X4,0)+IF(UPPER(Y12)=UPPER(Y5),Y4,0)+IF(UPPER(Z12)=UPPER(Z5),Z4,0)+IF(AA12="",0,IF(LEN(SUBSTITUTE(SUBSTITUTE(UPPER(AA12),"C",""),"D",""))&gt;0,0,IF(AND(ISNUMBER(FIND("C",UPPER(AA12))),ISNUMBER(FIND("D",UPPER(AA12)))),AA4,AA4/2)))+IF(AB12="",0,IF(LEN(SUBSTITUTE(SUBSTITUTE(UPPER(AB12),"C",""),"D",""))&gt;0,0,IF(AND(ISNUMBER(FIND("C",UPPER(AB12))),ISNUMBER(FIND("D",UPPER(AB12)))),AB4,AB4/2)))+IF(UPPER(AC12)=UPPER(AC5),AC4,0)+IF(UPPER(AD12)=UPPER(AD5),AD4,0)+IF(UPPER(AE12)=UPPER(AE5),AE4,0)+IF(UPPER(AF12)=UPPER(AF5),AF4,0)+IF(UPPER(AG12)=UPPER(AG5),AG4,0)+IF(UPPER(AH12)=UPPER(AH5),AH4,0)+IF(AI12="",0,IF(LEN(SUBSTITUTE(SUBSTITUTE(UPPER(AI12),"A",""),"C",""))&gt;0,0,IF(AND(ISNUMBER(FIND("A",UPPER(AI12))),ISNUMBER(FIND("C",UPPER(AI12)))),AI4,AI4/2)))+IF(UPPER(AJ12)=UPPER(AJ5),AJ4,0)+IF(UPPER(AK12)=UPPER(AK5),AK4,0)+IF(UPPER(AL12)=UPPER(AL5),AL4,0)+IF(UPPER(AM12)=UPPER(AM5),AM4,0)+IF(AN12="",0,IF(LEN(SUBSTITUTE(SUBSTITUTE(UPPER(AN12),"A",""),"C",""))&gt;0,0,IF(AND(ISNUMBER(FIND("A",UPPER(AN12))),ISNUMBER(FIND("C",UPPER(AN12)))),AN4,AN4/2)))+IF(UPPER(AO12)=UPPER(AO5),AO4,0)+IF(UPPER(AP12)=UPPER(AP5),AP4,0)+IF(OR(UPPER(AQ12)="A",UPPER(AQ12)="B"),AQ4,0)+IF(AR12="",0,IF(LEN(SUBSTITUTE(SUBSTITUTE(UPPER(AR12),"A",""),"D",""))&gt;0,0,IF(AND(ISNUMBER(FIND("A",UPPER(AR12))),ISNUMBER(FIND("D",UPPER(AR12)))),AR4,AR4/2)))</f>
        <v>68.75</v>
      </c>
      <c r="E12" s="13" t="s">
        <v>64</v>
      </c>
      <c r="F12" s="13" t="s">
        <v>61</v>
      </c>
      <c r="G12" s="13" t="s">
        <v>62</v>
      </c>
      <c r="H12" s="13" t="s">
        <v>63</v>
      </c>
      <c r="I12" s="13" t="s">
        <v>60</v>
      </c>
      <c r="J12" s="13" t="s">
        <v>64</v>
      </c>
      <c r="K12" s="13" t="s">
        <v>65</v>
      </c>
      <c r="L12" s="13" t="s">
        <v>63</v>
      </c>
      <c r="M12" s="13" t="s">
        <v>61</v>
      </c>
      <c r="N12" s="13" t="s">
        <v>64</v>
      </c>
      <c r="O12" s="13" t="s">
        <v>66</v>
      </c>
      <c r="P12" s="13" t="s">
        <v>60</v>
      </c>
      <c r="Q12" s="13" t="s">
        <v>64</v>
      </c>
      <c r="R12" s="13" t="s">
        <v>61</v>
      </c>
      <c r="S12" s="13" t="s">
        <v>60</v>
      </c>
      <c r="T12" s="13" t="s">
        <v>64</v>
      </c>
      <c r="U12" s="13" t="s">
        <v>66</v>
      </c>
      <c r="V12" s="13" t="s">
        <v>63</v>
      </c>
      <c r="W12" s="13" t="s">
        <v>61</v>
      </c>
      <c r="X12" s="13" t="s">
        <v>63</v>
      </c>
      <c r="Y12" s="13" t="s">
        <v>61</v>
      </c>
      <c r="Z12" s="13" t="s">
        <v>61</v>
      </c>
      <c r="AA12" s="13" t="s">
        <v>74</v>
      </c>
      <c r="AB12" s="13" t="s">
        <v>74</v>
      </c>
      <c r="AC12" s="13" t="s">
        <v>60</v>
      </c>
      <c r="AD12" s="13" t="s">
        <v>64</v>
      </c>
      <c r="AE12" s="13" t="s">
        <v>60</v>
      </c>
      <c r="AF12" s="13" t="s">
        <v>60</v>
      </c>
      <c r="AG12" s="13" t="s">
        <v>64</v>
      </c>
      <c r="AH12" s="13" t="s">
        <v>63</v>
      </c>
      <c r="AI12" s="13" t="s">
        <v>65</v>
      </c>
      <c r="AJ12" s="13" t="s">
        <v>63</v>
      </c>
      <c r="AK12" s="13" t="s">
        <v>61</v>
      </c>
      <c r="AL12" s="13" t="s">
        <v>63</v>
      </c>
      <c r="AM12" s="13" t="s">
        <v>61</v>
      </c>
      <c r="AN12" s="13" t="s">
        <v>65</v>
      </c>
      <c r="AO12" s="13" t="s">
        <v>60</v>
      </c>
      <c r="AP12" s="13" t="s">
        <v>60</v>
      </c>
      <c r="AQ12" s="13" t="s">
        <v>60</v>
      </c>
      <c r="AR12" s="13" t="s">
        <v>67</v>
      </c>
    </row>
    <row r="13">
      <c r="A13" s="10">
        <v>2.023905931E9</v>
      </c>
      <c r="B13" s="10" t="s">
        <v>81</v>
      </c>
      <c r="C13" s="10" t="s">
        <v>82</v>
      </c>
      <c r="D13" s="12">
        <f>IF(OR(UPPER(E13)="A",UPPER(E13)="B"),E4,0)+IF(UPPER(F13)=UPPER(F5),F4,0)+IF(G13="",0,IF(LEN(SUBSTITUTE(SUBSTITUTE(UPPER(G13),"C",""),"D",""))&gt;0,0,IF(AND(ISNUMBER(FIND("C",UPPER(G13))),ISNUMBER(FIND("D",UPPER(G13)))),G4,G4/2)))+IF(UPPER(H13)=UPPER(H5),H4,0)+IF(UPPER(I13)=UPPER(I5),I4,0)+IF(UPPER(J13)=UPPER(J5),J4,0)+IF(K13="",0,IF(LEN(SUBSTITUTE(SUBSTITUTE(UPPER(K13),"A",""),"C",""))&gt;0,0,IF(AND(ISNUMBER(FIND("A",UPPER(K13))),ISNUMBER(FIND("C",UPPER(K13)))),K4,K4/2)))+IF(UPPER(L13)=UPPER(L5),L4,0)+IF(UPPER(M13)=UPPER(M5),M4,0)+IF(UPPER(N13)=UPPER(N5),N4,0)+IF(O13="",0,IF(LEN(SUBSTITUTE(SUBSTITUTE(UPPER(O13),"A",""),"B",""))&gt;0,0,IF(AND(ISNUMBER(FIND("A",UPPER(O13))),ISNUMBER(FIND("B",UPPER(O13)))),O4,O4/2)))+IF(UPPER(P13)=UPPER(P5),P4,0)+IF(UPPER(Q13)=UPPER(Q5),Q4,0)+IF(UPPER(R13)=UPPER(R5),R4,0)+IF(UPPER(S13)=UPPER(S5),S4,0)+IF(UPPER(T13)=UPPER(T5),T4,0)+IF(U13="",0,IF(LEN(SUBSTITUTE(SUBSTITUTE(UPPER(U13),"A",""),"D",""))&gt;0,0,IF(AND(ISNUMBER(FIND("A",UPPER(U13))),ISNUMBER(FIND("D",UPPER(U13)))),U4,U4/2)))+IF(V13="",0,IF(LEN(SUBSTITUTE(SUBSTITUTE(UPPER(V13),"C",""),"D",""))&gt;0,0,IF(AND(ISNUMBER(FIND("C",UPPER(V13))),ISNUMBER(FIND("D",UPPER(V13)))),V4,V4/2)))+IF(UPPER(W13)=UPPER(W5),W4,0)+IF(UPPER(X13)=UPPER(X5),X4,0)+IF(UPPER(Y13)=UPPER(Y5),Y4,0)+IF(UPPER(Z13)=UPPER(Z5),Z4,0)+IF(AA13="",0,IF(LEN(SUBSTITUTE(SUBSTITUTE(UPPER(AA13),"C",""),"D",""))&gt;0,0,IF(AND(ISNUMBER(FIND("C",UPPER(AA13))),ISNUMBER(FIND("D",UPPER(AA13)))),AA4,AA4/2)))+IF(AB13="",0,IF(LEN(SUBSTITUTE(SUBSTITUTE(UPPER(AB13),"C",""),"D",""))&gt;0,0,IF(AND(ISNUMBER(FIND("C",UPPER(AB13))),ISNUMBER(FIND("D",UPPER(AB13)))),AB4,AB4/2)))+IF(UPPER(AC13)=UPPER(AC5),AC4,0)+IF(UPPER(AD13)=UPPER(AD5),AD4,0)+IF(UPPER(AE13)=UPPER(AE5),AE4,0)+IF(UPPER(AF13)=UPPER(AF5),AF4,0)+IF(UPPER(AG13)=UPPER(AG5),AG4,0)+IF(UPPER(AH13)=UPPER(AH5),AH4,0)+IF(AI13="",0,IF(LEN(SUBSTITUTE(SUBSTITUTE(UPPER(AI13),"A",""),"C",""))&gt;0,0,IF(AND(ISNUMBER(FIND("A",UPPER(AI13))),ISNUMBER(FIND("C",UPPER(AI13)))),AI4,AI4/2)))+IF(UPPER(AJ13)=UPPER(AJ5),AJ4,0)+IF(UPPER(AK13)=UPPER(AK5),AK4,0)+IF(UPPER(AL13)=UPPER(AL5),AL4,0)+IF(UPPER(AM13)=UPPER(AM5),AM4,0)+IF(AN13="",0,IF(LEN(SUBSTITUTE(SUBSTITUTE(UPPER(AN13),"A",""),"C",""))&gt;0,0,IF(AND(ISNUMBER(FIND("A",UPPER(AN13))),ISNUMBER(FIND("C",UPPER(AN13)))),AN4,AN4/2)))+IF(UPPER(AO13)=UPPER(AO5),AO4,0)+IF(UPPER(AP13)=UPPER(AP5),AP4,0)+IF(OR(UPPER(AQ13)="A",UPPER(AQ13)="B"),AQ4,0)+IF(AR13="",0,IF(LEN(SUBSTITUTE(SUBSTITUTE(UPPER(AR13),"A",""),"D",""))&gt;0,0,IF(AND(ISNUMBER(FIND("A",UPPER(AR13))),ISNUMBER(FIND("D",UPPER(AR13)))),AR4,AR4/2)))</f>
        <v>67.5</v>
      </c>
      <c r="E13" s="13" t="s">
        <v>60</v>
      </c>
      <c r="F13" s="13" t="s">
        <v>61</v>
      </c>
      <c r="G13" s="13" t="s">
        <v>63</v>
      </c>
      <c r="H13" s="13" t="s">
        <v>63</v>
      </c>
      <c r="I13" s="13" t="s">
        <v>60</v>
      </c>
      <c r="J13" s="13" t="s">
        <v>64</v>
      </c>
      <c r="K13" s="13" t="s">
        <v>65</v>
      </c>
      <c r="L13" s="13" t="s">
        <v>63</v>
      </c>
      <c r="M13" s="13" t="s">
        <v>61</v>
      </c>
      <c r="N13" s="13" t="s">
        <v>63</v>
      </c>
      <c r="O13" s="13" t="s">
        <v>60</v>
      </c>
      <c r="P13" s="13" t="s">
        <v>60</v>
      </c>
      <c r="Q13" s="13" t="s">
        <v>64</v>
      </c>
      <c r="R13" s="13" t="s">
        <v>61</v>
      </c>
      <c r="S13" s="13" t="s">
        <v>63</v>
      </c>
      <c r="T13" s="13" t="s">
        <v>64</v>
      </c>
      <c r="U13" s="13" t="s">
        <v>61</v>
      </c>
      <c r="V13" s="13" t="s">
        <v>64</v>
      </c>
      <c r="W13" s="13" t="s">
        <v>63</v>
      </c>
      <c r="X13" s="13" t="s">
        <v>61</v>
      </c>
      <c r="Y13" s="13" t="s">
        <v>61</v>
      </c>
      <c r="Z13" s="13" t="s">
        <v>60</v>
      </c>
      <c r="AA13" s="13" t="s">
        <v>63</v>
      </c>
      <c r="AB13" s="13" t="s">
        <v>63</v>
      </c>
      <c r="AC13" s="13" t="s">
        <v>60</v>
      </c>
      <c r="AD13" s="13" t="s">
        <v>64</v>
      </c>
      <c r="AE13" s="13" t="s">
        <v>60</v>
      </c>
      <c r="AF13" s="13" t="s">
        <v>60</v>
      </c>
      <c r="AG13" s="13" t="s">
        <v>64</v>
      </c>
      <c r="AH13" s="13" t="s">
        <v>63</v>
      </c>
      <c r="AI13" s="13" t="s">
        <v>60</v>
      </c>
      <c r="AJ13" s="13" t="s">
        <v>64</v>
      </c>
      <c r="AK13" s="13" t="s">
        <v>61</v>
      </c>
      <c r="AL13" s="13" t="s">
        <v>60</v>
      </c>
      <c r="AM13" s="13" t="s">
        <v>60</v>
      </c>
      <c r="AN13" s="13" t="s">
        <v>63</v>
      </c>
      <c r="AO13" s="13" t="s">
        <v>60</v>
      </c>
      <c r="AP13" s="13" t="s">
        <v>60</v>
      </c>
      <c r="AQ13" s="13" t="s">
        <v>60</v>
      </c>
      <c r="AR13" s="13" t="s">
        <v>64</v>
      </c>
    </row>
    <row r="14">
      <c r="A14" s="10">
        <v>2.023901566E9</v>
      </c>
      <c r="B14" s="10" t="s">
        <v>83</v>
      </c>
      <c r="C14" s="10" t="s">
        <v>84</v>
      </c>
      <c r="D14" s="12">
        <f>IF(OR(UPPER(E14)="A",UPPER(E14)="B"),E4,0)+IF(UPPER(F14)=UPPER(F5),F4,0)+IF(G14="",0,IF(LEN(SUBSTITUTE(SUBSTITUTE(UPPER(G14),"C",""),"D",""))&gt;0,0,IF(AND(ISNUMBER(FIND("C",UPPER(G14))),ISNUMBER(FIND("D",UPPER(G14)))),G4,G4/2)))+IF(UPPER(H14)=UPPER(H5),H4,0)+IF(UPPER(I14)=UPPER(I5),I4,0)+IF(UPPER(J14)=UPPER(J5),J4,0)+IF(K14="",0,IF(LEN(SUBSTITUTE(SUBSTITUTE(UPPER(K14),"A",""),"C",""))&gt;0,0,IF(AND(ISNUMBER(FIND("A",UPPER(K14))),ISNUMBER(FIND("C",UPPER(K14)))),K4,K4/2)))+IF(UPPER(L14)=UPPER(L5),L4,0)+IF(UPPER(M14)=UPPER(M5),M4,0)+IF(UPPER(N14)=UPPER(N5),N4,0)+IF(O14="",0,IF(LEN(SUBSTITUTE(SUBSTITUTE(UPPER(O14),"A",""),"B",""))&gt;0,0,IF(AND(ISNUMBER(FIND("A",UPPER(O14))),ISNUMBER(FIND("B",UPPER(O14)))),O4,O4/2)))+IF(UPPER(P14)=UPPER(P5),P4,0)+IF(UPPER(Q14)=UPPER(Q5),Q4,0)+IF(UPPER(R14)=UPPER(R5),R4,0)+IF(UPPER(S14)=UPPER(S5),S4,0)+IF(UPPER(T14)=UPPER(T5),T4,0)+IF(U14="",0,IF(LEN(SUBSTITUTE(SUBSTITUTE(UPPER(U14),"A",""),"D",""))&gt;0,0,IF(AND(ISNUMBER(FIND("A",UPPER(U14))),ISNUMBER(FIND("D",UPPER(U14)))),U4,U4/2)))+IF(V14="",0,IF(LEN(SUBSTITUTE(SUBSTITUTE(UPPER(V14),"C",""),"D",""))&gt;0,0,IF(AND(ISNUMBER(FIND("C",UPPER(V14))),ISNUMBER(FIND("D",UPPER(V14)))),V4,V4/2)))+IF(UPPER(W14)=UPPER(W5),W4,0)+IF(UPPER(X14)=UPPER(X5),X4,0)+IF(UPPER(Y14)=UPPER(Y5),Y4,0)+IF(UPPER(Z14)=UPPER(Z5),Z4,0)+IF(AA14="",0,IF(LEN(SUBSTITUTE(SUBSTITUTE(UPPER(AA14),"C",""),"D",""))&gt;0,0,IF(AND(ISNUMBER(FIND("C",UPPER(AA14))),ISNUMBER(FIND("D",UPPER(AA14)))),AA4,AA4/2)))+IF(AB14="",0,IF(LEN(SUBSTITUTE(SUBSTITUTE(UPPER(AB14),"C",""),"D",""))&gt;0,0,IF(AND(ISNUMBER(FIND("C",UPPER(AB14))),ISNUMBER(FIND("D",UPPER(AB14)))),AB4,AB4/2)))+IF(UPPER(AC14)=UPPER(AC5),AC4,0)+IF(UPPER(AD14)=UPPER(AD5),AD4,0)+IF(UPPER(AE14)=UPPER(AE5),AE4,0)+IF(UPPER(AF14)=UPPER(AF5),AF4,0)+IF(UPPER(AG14)=UPPER(AG5),AG4,0)+IF(UPPER(AH14)=UPPER(AH5),AH4,0)+IF(AI14="",0,IF(LEN(SUBSTITUTE(SUBSTITUTE(UPPER(AI14),"A",""),"C",""))&gt;0,0,IF(AND(ISNUMBER(FIND("A",UPPER(AI14))),ISNUMBER(FIND("C",UPPER(AI14)))),AI4,AI4/2)))+IF(UPPER(AJ14)=UPPER(AJ5),AJ4,0)+IF(UPPER(AK14)=UPPER(AK5),AK4,0)+IF(UPPER(AL14)=UPPER(AL5),AL4,0)+IF(UPPER(AM14)=UPPER(AM5),AM4,0)+IF(AN14="",0,IF(LEN(SUBSTITUTE(SUBSTITUTE(UPPER(AN14),"A",""),"C",""))&gt;0,0,IF(AND(ISNUMBER(FIND("A",UPPER(AN14))),ISNUMBER(FIND("C",UPPER(AN14)))),AN4,AN4/2)))+IF(UPPER(AO14)=UPPER(AO5),AO4,0)+IF(UPPER(AP14)=UPPER(AP5),AP4,0)+IF(OR(UPPER(AQ14)="A",UPPER(AQ14)="B"),AQ4,0)+IF(AR14="",0,IF(LEN(SUBSTITUTE(SUBSTITUTE(UPPER(AR14),"A",""),"D",""))&gt;0,0,IF(AND(ISNUMBER(FIND("A",UPPER(AR14))),ISNUMBER(FIND("D",UPPER(AR14)))),AR4,AR4/2)))</f>
        <v>87.5</v>
      </c>
      <c r="E14" s="13" t="s">
        <v>60</v>
      </c>
      <c r="F14" s="13" t="s">
        <v>61</v>
      </c>
      <c r="G14" s="13" t="s">
        <v>62</v>
      </c>
      <c r="H14" s="13" t="s">
        <v>63</v>
      </c>
      <c r="I14" s="13" t="s">
        <v>60</v>
      </c>
      <c r="J14" s="13" t="s">
        <v>64</v>
      </c>
      <c r="K14" s="13" t="s">
        <v>65</v>
      </c>
      <c r="L14" s="13" t="s">
        <v>63</v>
      </c>
      <c r="M14" s="13" t="s">
        <v>61</v>
      </c>
      <c r="N14" s="13" t="s">
        <v>63</v>
      </c>
      <c r="O14" s="13" t="s">
        <v>66</v>
      </c>
      <c r="P14" s="13" t="s">
        <v>60</v>
      </c>
      <c r="Q14" s="13" t="s">
        <v>64</v>
      </c>
      <c r="R14" s="13" t="s">
        <v>61</v>
      </c>
      <c r="S14" s="13" t="s">
        <v>63</v>
      </c>
      <c r="T14" s="13" t="s">
        <v>64</v>
      </c>
      <c r="U14" s="13" t="s">
        <v>67</v>
      </c>
      <c r="V14" s="13" t="s">
        <v>62</v>
      </c>
      <c r="W14" s="13" t="s">
        <v>61</v>
      </c>
      <c r="X14" s="13" t="s">
        <v>63</v>
      </c>
      <c r="Y14" s="13" t="s">
        <v>61</v>
      </c>
      <c r="Z14" s="13" t="s">
        <v>63</v>
      </c>
      <c r="AA14" s="13" t="s">
        <v>62</v>
      </c>
      <c r="AB14" s="13" t="s">
        <v>65</v>
      </c>
      <c r="AC14" s="13" t="s">
        <v>60</v>
      </c>
      <c r="AD14" s="13" t="s">
        <v>61</v>
      </c>
      <c r="AE14" s="13" t="s">
        <v>64</v>
      </c>
      <c r="AF14" s="13" t="s">
        <v>64</v>
      </c>
      <c r="AG14" s="13" t="s">
        <v>64</v>
      </c>
      <c r="AH14" s="13" t="s">
        <v>63</v>
      </c>
      <c r="AI14" s="13" t="s">
        <v>65</v>
      </c>
      <c r="AJ14" s="13" t="s">
        <v>64</v>
      </c>
      <c r="AK14" s="13" t="s">
        <v>61</v>
      </c>
      <c r="AL14" s="13" t="s">
        <v>63</v>
      </c>
      <c r="AM14" s="13" t="s">
        <v>63</v>
      </c>
      <c r="AN14" s="13" t="s">
        <v>65</v>
      </c>
      <c r="AO14" s="13" t="s">
        <v>61</v>
      </c>
      <c r="AP14" s="13" t="s">
        <v>60</v>
      </c>
      <c r="AQ14" s="13" t="s">
        <v>60</v>
      </c>
      <c r="AR14" s="13" t="s">
        <v>67</v>
      </c>
    </row>
    <row r="15">
      <c r="A15" s="10">
        <v>2.023905939E9</v>
      </c>
      <c r="B15" s="10" t="s">
        <v>85</v>
      </c>
      <c r="C15" s="10" t="s">
        <v>86</v>
      </c>
      <c r="D15" s="12">
        <f>IF(OR(UPPER(E15)="A",UPPER(E15)="B"),E4,0)+IF(UPPER(F15)=UPPER(F5),F4,0)+IF(G15="",0,IF(LEN(SUBSTITUTE(SUBSTITUTE(UPPER(G15),"C",""),"D",""))&gt;0,0,IF(AND(ISNUMBER(FIND("C",UPPER(G15))),ISNUMBER(FIND("D",UPPER(G15)))),G4,G4/2)))+IF(UPPER(H15)=UPPER(H5),H4,0)+IF(UPPER(I15)=UPPER(I5),I4,0)+IF(UPPER(J15)=UPPER(J5),J4,0)+IF(K15="",0,IF(LEN(SUBSTITUTE(SUBSTITUTE(UPPER(K15),"A",""),"C",""))&gt;0,0,IF(AND(ISNUMBER(FIND("A",UPPER(K15))),ISNUMBER(FIND("C",UPPER(K15)))),K4,K4/2)))+IF(UPPER(L15)=UPPER(L5),L4,0)+IF(UPPER(M15)=UPPER(M5),M4,0)+IF(UPPER(N15)=UPPER(N5),N4,0)+IF(O15="",0,IF(LEN(SUBSTITUTE(SUBSTITUTE(UPPER(O15),"A",""),"B",""))&gt;0,0,IF(AND(ISNUMBER(FIND("A",UPPER(O15))),ISNUMBER(FIND("B",UPPER(O15)))),O4,O4/2)))+IF(UPPER(P15)=UPPER(P5),P4,0)+IF(UPPER(Q15)=UPPER(Q5),Q4,0)+IF(UPPER(R15)=UPPER(R5),R4,0)+IF(UPPER(S15)=UPPER(S5),S4,0)+IF(UPPER(T15)=UPPER(T5),T4,0)+IF(U15="",0,IF(LEN(SUBSTITUTE(SUBSTITUTE(UPPER(U15),"A",""),"D",""))&gt;0,0,IF(AND(ISNUMBER(FIND("A",UPPER(U15))),ISNUMBER(FIND("D",UPPER(U15)))),U4,U4/2)))+IF(V15="",0,IF(LEN(SUBSTITUTE(SUBSTITUTE(UPPER(V15),"C",""),"D",""))&gt;0,0,IF(AND(ISNUMBER(FIND("C",UPPER(V15))),ISNUMBER(FIND("D",UPPER(V15)))),V4,V4/2)))+IF(UPPER(W15)=UPPER(W5),W4,0)+IF(UPPER(X15)=UPPER(X5),X4,0)+IF(UPPER(Y15)=UPPER(Y5),Y4,0)+IF(UPPER(Z15)=UPPER(Z5),Z4,0)+IF(AA15="",0,IF(LEN(SUBSTITUTE(SUBSTITUTE(UPPER(AA15),"C",""),"D",""))&gt;0,0,IF(AND(ISNUMBER(FIND("C",UPPER(AA15))),ISNUMBER(FIND("D",UPPER(AA15)))),AA4,AA4/2)))+IF(AB15="",0,IF(LEN(SUBSTITUTE(SUBSTITUTE(UPPER(AB15),"C",""),"D",""))&gt;0,0,IF(AND(ISNUMBER(FIND("C",UPPER(AB15))),ISNUMBER(FIND("D",UPPER(AB15)))),AB4,AB4/2)))+IF(UPPER(AC15)=UPPER(AC5),AC4,0)+IF(UPPER(AD15)=UPPER(AD5),AD4,0)+IF(UPPER(AE15)=UPPER(AE5),AE4,0)+IF(UPPER(AF15)=UPPER(AF5),AF4,0)+IF(UPPER(AG15)=UPPER(AG5),AG4,0)+IF(UPPER(AH15)=UPPER(AH5),AH4,0)+IF(AI15="",0,IF(LEN(SUBSTITUTE(SUBSTITUTE(UPPER(AI15),"A",""),"C",""))&gt;0,0,IF(AND(ISNUMBER(FIND("A",UPPER(AI15))),ISNUMBER(FIND("C",UPPER(AI15)))),AI4,AI4/2)))+IF(UPPER(AJ15)=UPPER(AJ5),AJ4,0)+IF(UPPER(AK15)=UPPER(AK5),AK4,0)+IF(UPPER(AL15)=UPPER(AL5),AL4,0)+IF(UPPER(AM15)=UPPER(AM5),AM4,0)+IF(AN15="",0,IF(LEN(SUBSTITUTE(SUBSTITUTE(UPPER(AN15),"A",""),"C",""))&gt;0,0,IF(AND(ISNUMBER(FIND("A",UPPER(AN15))),ISNUMBER(FIND("C",UPPER(AN15)))),AN4,AN4/2)))+IF(UPPER(AO15)=UPPER(AO5),AO4,0)+IF(UPPER(AP15)=UPPER(AP5),AP4,0)+IF(OR(UPPER(AQ15)="A",UPPER(AQ15)="B"),AQ4,0)+IF(AR15="",0,IF(LEN(SUBSTITUTE(SUBSTITUTE(UPPER(AR15),"A",""),"D",""))&gt;0,0,IF(AND(ISNUMBER(FIND("A",UPPER(AR15))),ISNUMBER(FIND("D",UPPER(AR15)))),AR4,AR4/2)))</f>
        <v>76.25</v>
      </c>
      <c r="E15" s="13" t="s">
        <v>64</v>
      </c>
      <c r="F15" s="13" t="s">
        <v>61</v>
      </c>
      <c r="G15" s="13" t="s">
        <v>73</v>
      </c>
      <c r="H15" s="13" t="s">
        <v>61</v>
      </c>
      <c r="I15" s="13" t="s">
        <v>60</v>
      </c>
      <c r="J15" s="13" t="s">
        <v>60</v>
      </c>
      <c r="K15" s="13" t="s">
        <v>66</v>
      </c>
      <c r="L15" s="13" t="s">
        <v>60</v>
      </c>
      <c r="M15" s="13" t="s">
        <v>61</v>
      </c>
      <c r="N15" s="13" t="s">
        <v>60</v>
      </c>
      <c r="O15" s="13" t="s">
        <v>62</v>
      </c>
      <c r="P15" s="13" t="s">
        <v>60</v>
      </c>
      <c r="Q15" s="13" t="s">
        <v>64</v>
      </c>
      <c r="R15" s="13" t="s">
        <v>61</v>
      </c>
      <c r="S15" s="13" t="s">
        <v>63</v>
      </c>
      <c r="T15" s="13" t="s">
        <v>64</v>
      </c>
      <c r="U15" s="13" t="s">
        <v>67</v>
      </c>
      <c r="V15" s="13" t="s">
        <v>64</v>
      </c>
      <c r="W15" s="13" t="s">
        <v>61</v>
      </c>
      <c r="X15" s="13" t="s">
        <v>63</v>
      </c>
      <c r="Y15" s="13" t="s">
        <v>60</v>
      </c>
      <c r="Z15" s="13" t="s">
        <v>63</v>
      </c>
      <c r="AA15" s="13" t="s">
        <v>64</v>
      </c>
      <c r="AB15" s="13" t="s">
        <v>64</v>
      </c>
      <c r="AC15" s="13" t="s">
        <v>60</v>
      </c>
      <c r="AD15" s="13" t="s">
        <v>64</v>
      </c>
      <c r="AE15" s="13" t="s">
        <v>60</v>
      </c>
      <c r="AF15" s="13" t="s">
        <v>61</v>
      </c>
      <c r="AG15" s="13" t="s">
        <v>64</v>
      </c>
      <c r="AH15" s="13" t="s">
        <v>63</v>
      </c>
      <c r="AI15" s="13" t="s">
        <v>87</v>
      </c>
      <c r="AJ15" s="13" t="s">
        <v>64</v>
      </c>
      <c r="AK15" s="13" t="s">
        <v>61</v>
      </c>
      <c r="AL15" s="13" t="s">
        <v>63</v>
      </c>
      <c r="AM15" s="13" t="s">
        <v>63</v>
      </c>
      <c r="AN15" s="13" t="s">
        <v>65</v>
      </c>
      <c r="AO15" s="13" t="s">
        <v>61</v>
      </c>
      <c r="AP15" s="13" t="s">
        <v>60</v>
      </c>
      <c r="AQ15" s="13" t="s">
        <v>60</v>
      </c>
      <c r="AR15" s="13" t="s">
        <v>67</v>
      </c>
    </row>
    <row r="16">
      <c r="A16" s="10">
        <v>2.0239017E9</v>
      </c>
      <c r="B16" s="10" t="s">
        <v>88</v>
      </c>
      <c r="C16" s="10" t="s">
        <v>89</v>
      </c>
      <c r="D16" s="12">
        <f>IF(OR(UPPER(E16)="A",UPPER(E16)="B"),E4,0)+IF(UPPER(F16)=UPPER(F5),F4,0)+IF(G16="",0,IF(LEN(SUBSTITUTE(SUBSTITUTE(UPPER(G16),"C",""),"D",""))&gt;0,0,IF(AND(ISNUMBER(FIND("C",UPPER(G16))),ISNUMBER(FIND("D",UPPER(G16)))),G4,G4/2)))+IF(UPPER(H16)=UPPER(H5),H4,0)+IF(UPPER(I16)=UPPER(I5),I4,0)+IF(UPPER(J16)=UPPER(J5),J4,0)+IF(K16="",0,IF(LEN(SUBSTITUTE(SUBSTITUTE(UPPER(K16),"A",""),"C",""))&gt;0,0,IF(AND(ISNUMBER(FIND("A",UPPER(K16))),ISNUMBER(FIND("C",UPPER(K16)))),K4,K4/2)))+IF(UPPER(L16)=UPPER(L5),L4,0)+IF(UPPER(M16)=UPPER(M5),M4,0)+IF(UPPER(N16)=UPPER(N5),N4,0)+IF(O16="",0,IF(LEN(SUBSTITUTE(SUBSTITUTE(UPPER(O16),"A",""),"B",""))&gt;0,0,IF(AND(ISNUMBER(FIND("A",UPPER(O16))),ISNUMBER(FIND("B",UPPER(O16)))),O4,O4/2)))+IF(UPPER(P16)=UPPER(P5),P4,0)+IF(UPPER(Q16)=UPPER(Q5),Q4,0)+IF(UPPER(R16)=UPPER(R5),R4,0)+IF(UPPER(S16)=UPPER(S5),S4,0)+IF(UPPER(T16)=UPPER(T5),T4,0)+IF(U16="",0,IF(LEN(SUBSTITUTE(SUBSTITUTE(UPPER(U16),"A",""),"D",""))&gt;0,0,IF(AND(ISNUMBER(FIND("A",UPPER(U16))),ISNUMBER(FIND("D",UPPER(U16)))),U4,U4/2)))+IF(V16="",0,IF(LEN(SUBSTITUTE(SUBSTITUTE(UPPER(V16),"C",""),"D",""))&gt;0,0,IF(AND(ISNUMBER(FIND("C",UPPER(V16))),ISNUMBER(FIND("D",UPPER(V16)))),V4,V4/2)))+IF(UPPER(W16)=UPPER(W5),W4,0)+IF(UPPER(X16)=UPPER(X5),X4,0)+IF(UPPER(Y16)=UPPER(Y5),Y4,0)+IF(UPPER(Z16)=UPPER(Z5),Z4,0)+IF(AA16="",0,IF(LEN(SUBSTITUTE(SUBSTITUTE(UPPER(AA16),"C",""),"D",""))&gt;0,0,IF(AND(ISNUMBER(FIND("C",UPPER(AA16))),ISNUMBER(FIND("D",UPPER(AA16)))),AA4,AA4/2)))+IF(AB16="",0,IF(LEN(SUBSTITUTE(SUBSTITUTE(UPPER(AB16),"C",""),"D",""))&gt;0,0,IF(AND(ISNUMBER(FIND("C",UPPER(AB16))),ISNUMBER(FIND("D",UPPER(AB16)))),AB4,AB4/2)))+IF(UPPER(AC16)=UPPER(AC5),AC4,0)+IF(UPPER(AD16)=UPPER(AD5),AD4,0)+IF(UPPER(AE16)=UPPER(AE5),AE4,0)+IF(UPPER(AF16)=UPPER(AF5),AF4,0)+IF(UPPER(AG16)=UPPER(AG5),AG4,0)+IF(UPPER(AH16)=UPPER(AH5),AH4,0)+IF(AI16="",0,IF(LEN(SUBSTITUTE(SUBSTITUTE(UPPER(AI16),"A",""),"C",""))&gt;0,0,IF(AND(ISNUMBER(FIND("A",UPPER(AI16))),ISNUMBER(FIND("C",UPPER(AI16)))),AI4,AI4/2)))+IF(UPPER(AJ16)=UPPER(AJ5),AJ4,0)+IF(UPPER(AK16)=UPPER(AK5),AK4,0)+IF(UPPER(AL16)=UPPER(AL5),AL4,0)+IF(UPPER(AM16)=UPPER(AM5),AM4,0)+IF(AN16="",0,IF(LEN(SUBSTITUTE(SUBSTITUTE(UPPER(AN16),"A",""),"C",""))&gt;0,0,IF(AND(ISNUMBER(FIND("A",UPPER(AN16))),ISNUMBER(FIND("C",UPPER(AN16)))),AN4,AN4/2)))+IF(UPPER(AO16)=UPPER(AO5),AO4,0)+IF(UPPER(AP16)=UPPER(AP5),AP4,0)+IF(OR(UPPER(AQ16)="A",UPPER(AQ16)="B"),AQ4,0)+IF(AR16="",0,IF(LEN(SUBSTITUTE(SUBSTITUTE(UPPER(AR16),"A",""),"D",""))&gt;0,0,IF(AND(ISNUMBER(FIND("A",UPPER(AR16))),ISNUMBER(FIND("D",UPPER(AR16)))),AR4,AR4/2)))</f>
        <v>92.5</v>
      </c>
      <c r="E16" s="13" t="s">
        <v>61</v>
      </c>
      <c r="F16" s="13" t="s">
        <v>61</v>
      </c>
      <c r="G16" s="13" t="s">
        <v>62</v>
      </c>
      <c r="H16" s="13" t="s">
        <v>63</v>
      </c>
      <c r="I16" s="13" t="s">
        <v>60</v>
      </c>
      <c r="J16" s="13" t="s">
        <v>64</v>
      </c>
      <c r="K16" s="13" t="s">
        <v>65</v>
      </c>
      <c r="L16" s="13" t="s">
        <v>63</v>
      </c>
      <c r="M16" s="13" t="s">
        <v>61</v>
      </c>
      <c r="N16" s="13" t="s">
        <v>63</v>
      </c>
      <c r="O16" s="13" t="s">
        <v>66</v>
      </c>
      <c r="P16" s="13" t="s">
        <v>60</v>
      </c>
      <c r="Q16" s="13" t="s">
        <v>64</v>
      </c>
      <c r="R16" s="13" t="s">
        <v>61</v>
      </c>
      <c r="S16" s="13" t="s">
        <v>63</v>
      </c>
      <c r="T16" s="13" t="s">
        <v>64</v>
      </c>
      <c r="U16" s="13" t="s">
        <v>67</v>
      </c>
      <c r="V16" s="13" t="s">
        <v>62</v>
      </c>
      <c r="W16" s="13" t="s">
        <v>61</v>
      </c>
      <c r="X16" s="13" t="s">
        <v>63</v>
      </c>
      <c r="Y16" s="13" t="s">
        <v>60</v>
      </c>
      <c r="Z16" s="13" t="s">
        <v>63</v>
      </c>
      <c r="AA16" s="13" t="s">
        <v>67</v>
      </c>
      <c r="AB16" s="13" t="s">
        <v>73</v>
      </c>
      <c r="AC16" s="13" t="s">
        <v>60</v>
      </c>
      <c r="AD16" s="13" t="s">
        <v>64</v>
      </c>
      <c r="AE16" s="13" t="s">
        <v>60</v>
      </c>
      <c r="AF16" s="13" t="s">
        <v>61</v>
      </c>
      <c r="AG16" s="13" t="s">
        <v>64</v>
      </c>
      <c r="AH16" s="13" t="s">
        <v>63</v>
      </c>
      <c r="AI16" s="13" t="s">
        <v>70</v>
      </c>
      <c r="AJ16" s="13" t="s">
        <v>64</v>
      </c>
      <c r="AK16" s="13" t="s">
        <v>61</v>
      </c>
      <c r="AL16" s="13" t="s">
        <v>63</v>
      </c>
      <c r="AM16" s="13" t="s">
        <v>63</v>
      </c>
      <c r="AN16" s="13" t="s">
        <v>65</v>
      </c>
      <c r="AO16" s="13" t="s">
        <v>61</v>
      </c>
      <c r="AP16" s="13" t="s">
        <v>60</v>
      </c>
      <c r="AQ16" s="13" t="s">
        <v>60</v>
      </c>
      <c r="AR16" s="13" t="s">
        <v>67</v>
      </c>
    </row>
    <row r="17">
      <c r="A17" s="10">
        <v>2.023901708E9</v>
      </c>
      <c r="B17" s="10" t="s">
        <v>90</v>
      </c>
      <c r="C17" s="10" t="s">
        <v>91</v>
      </c>
      <c r="D17" s="12">
        <f>IF(OR(UPPER(E17)="A",UPPER(E17)="B"),E4,0)+IF(UPPER(F17)=UPPER(F5),F4,0)+IF(G17="",0,IF(LEN(SUBSTITUTE(SUBSTITUTE(UPPER(G17),"C",""),"D",""))&gt;0,0,IF(AND(ISNUMBER(FIND("C",UPPER(G17))),ISNUMBER(FIND("D",UPPER(G17)))),G4,G4/2)))+IF(UPPER(H17)=UPPER(H5),H4,0)+IF(UPPER(I17)=UPPER(I5),I4,0)+IF(UPPER(J17)=UPPER(J5),J4,0)+IF(K17="",0,IF(LEN(SUBSTITUTE(SUBSTITUTE(UPPER(K17),"A",""),"C",""))&gt;0,0,IF(AND(ISNUMBER(FIND("A",UPPER(K17))),ISNUMBER(FIND("C",UPPER(K17)))),K4,K4/2)))+IF(UPPER(L17)=UPPER(L5),L4,0)+IF(UPPER(M17)=UPPER(M5),M4,0)+IF(UPPER(N17)=UPPER(N5),N4,0)+IF(O17="",0,IF(LEN(SUBSTITUTE(SUBSTITUTE(UPPER(O17),"A",""),"B",""))&gt;0,0,IF(AND(ISNUMBER(FIND("A",UPPER(O17))),ISNUMBER(FIND("B",UPPER(O17)))),O4,O4/2)))+IF(UPPER(P17)=UPPER(P5),P4,0)+IF(UPPER(Q17)=UPPER(Q5),Q4,0)+IF(UPPER(R17)=UPPER(R5),R4,0)+IF(UPPER(S17)=UPPER(S5),S4,0)+IF(UPPER(T17)=UPPER(T5),T4,0)+IF(U17="",0,IF(LEN(SUBSTITUTE(SUBSTITUTE(UPPER(U17),"A",""),"D",""))&gt;0,0,IF(AND(ISNUMBER(FIND("A",UPPER(U17))),ISNUMBER(FIND("D",UPPER(U17)))),U4,U4/2)))+IF(V17="",0,IF(LEN(SUBSTITUTE(SUBSTITUTE(UPPER(V17),"C",""),"D",""))&gt;0,0,IF(AND(ISNUMBER(FIND("C",UPPER(V17))),ISNUMBER(FIND("D",UPPER(V17)))),V4,V4/2)))+IF(UPPER(W17)=UPPER(W5),W4,0)+IF(UPPER(X17)=UPPER(X5),X4,0)+IF(UPPER(Y17)=UPPER(Y5),Y4,0)+IF(UPPER(Z17)=UPPER(Z5),Z4,0)+IF(AA17="",0,IF(LEN(SUBSTITUTE(SUBSTITUTE(UPPER(AA17),"C",""),"D",""))&gt;0,0,IF(AND(ISNUMBER(FIND("C",UPPER(AA17))),ISNUMBER(FIND("D",UPPER(AA17)))),AA4,AA4/2)))+IF(AB17="",0,IF(LEN(SUBSTITUTE(SUBSTITUTE(UPPER(AB17),"C",""),"D",""))&gt;0,0,IF(AND(ISNUMBER(FIND("C",UPPER(AB17))),ISNUMBER(FIND("D",UPPER(AB17)))),AB4,AB4/2)))+IF(UPPER(AC17)=UPPER(AC5),AC4,0)+IF(UPPER(AD17)=UPPER(AD5),AD4,0)+IF(UPPER(AE17)=UPPER(AE5),AE4,0)+IF(UPPER(AF17)=UPPER(AF5),AF4,0)+IF(UPPER(AG17)=UPPER(AG5),AG4,0)+IF(UPPER(AH17)=UPPER(AH5),AH4,0)+IF(AI17="",0,IF(LEN(SUBSTITUTE(SUBSTITUTE(UPPER(AI17),"A",""),"C",""))&gt;0,0,IF(AND(ISNUMBER(FIND("A",UPPER(AI17))),ISNUMBER(FIND("C",UPPER(AI17)))),AI4,AI4/2)))+IF(UPPER(AJ17)=UPPER(AJ5),AJ4,0)+IF(UPPER(AK17)=UPPER(AK5),AK4,0)+IF(UPPER(AL17)=UPPER(AL5),AL4,0)+IF(UPPER(AM17)=UPPER(AM5),AM4,0)+IF(AN17="",0,IF(LEN(SUBSTITUTE(SUBSTITUTE(UPPER(AN17),"A",""),"C",""))&gt;0,0,IF(AND(ISNUMBER(FIND("A",UPPER(AN17))),ISNUMBER(FIND("C",UPPER(AN17)))),AN4,AN4/2)))+IF(UPPER(AO17)=UPPER(AO5),AO4,0)+IF(UPPER(AP17)=UPPER(AP5),AP4,0)+IF(OR(UPPER(AQ17)="A",UPPER(AQ17)="B"),AQ4,0)+IF(AR17="",0,IF(LEN(SUBSTITUTE(SUBSTITUTE(UPPER(AR17),"A",""),"D",""))&gt;0,0,IF(AND(ISNUMBER(FIND("A",UPPER(AR17))),ISNUMBER(FIND("D",UPPER(AR17)))),AR4,AR4/2)))</f>
        <v>92.5</v>
      </c>
      <c r="E17" s="13" t="s">
        <v>60</v>
      </c>
      <c r="F17" s="13" t="s">
        <v>61</v>
      </c>
      <c r="G17" s="13" t="s">
        <v>62</v>
      </c>
      <c r="H17" s="13" t="s">
        <v>63</v>
      </c>
      <c r="I17" s="13" t="s">
        <v>60</v>
      </c>
      <c r="J17" s="13" t="s">
        <v>64</v>
      </c>
      <c r="K17" s="13" t="s">
        <v>65</v>
      </c>
      <c r="L17" s="13" t="s">
        <v>63</v>
      </c>
      <c r="M17" s="13" t="s">
        <v>61</v>
      </c>
      <c r="N17" s="13" t="s">
        <v>63</v>
      </c>
      <c r="O17" s="13" t="s">
        <v>66</v>
      </c>
      <c r="P17" s="13" t="s">
        <v>60</v>
      </c>
      <c r="Q17" s="13" t="s">
        <v>64</v>
      </c>
      <c r="R17" s="13" t="s">
        <v>61</v>
      </c>
      <c r="S17" s="13" t="s">
        <v>63</v>
      </c>
      <c r="T17" s="13" t="s">
        <v>64</v>
      </c>
      <c r="U17" s="13" t="s">
        <v>67</v>
      </c>
      <c r="V17" s="13" t="s">
        <v>62</v>
      </c>
      <c r="W17" s="13" t="s">
        <v>61</v>
      </c>
      <c r="X17" s="13" t="s">
        <v>63</v>
      </c>
      <c r="Y17" s="13" t="s">
        <v>60</v>
      </c>
      <c r="Z17" s="13" t="s">
        <v>63</v>
      </c>
      <c r="AA17" s="13" t="s">
        <v>62</v>
      </c>
      <c r="AB17" s="13" t="s">
        <v>62</v>
      </c>
      <c r="AC17" s="13" t="s">
        <v>60</v>
      </c>
      <c r="AD17" s="13" t="s">
        <v>64</v>
      </c>
      <c r="AE17" s="13" t="s">
        <v>63</v>
      </c>
      <c r="AF17" s="13" t="s">
        <v>61</v>
      </c>
      <c r="AG17" s="13" t="s">
        <v>64</v>
      </c>
      <c r="AH17" s="13" t="s">
        <v>63</v>
      </c>
      <c r="AI17" s="13" t="s">
        <v>65</v>
      </c>
      <c r="AJ17" s="13" t="s">
        <v>63</v>
      </c>
      <c r="AK17" s="13" t="s">
        <v>61</v>
      </c>
      <c r="AL17" s="13" t="s">
        <v>63</v>
      </c>
      <c r="AM17" s="13" t="s">
        <v>63</v>
      </c>
      <c r="AN17" s="13" t="s">
        <v>65</v>
      </c>
      <c r="AO17" s="13" t="s">
        <v>60</v>
      </c>
      <c r="AP17" s="13" t="s">
        <v>60</v>
      </c>
      <c r="AQ17" s="13" t="s">
        <v>60</v>
      </c>
      <c r="AR17" s="13" t="s">
        <v>67</v>
      </c>
    </row>
    <row r="18">
      <c r="A18" s="10">
        <v>2.023905334E9</v>
      </c>
      <c r="B18" s="10" t="s">
        <v>92</v>
      </c>
      <c r="C18" s="10" t="s">
        <v>93</v>
      </c>
      <c r="D18" s="12">
        <f>IF(OR(UPPER(E18)="A",UPPER(E18)="B"),E4,0)+IF(UPPER(F18)=UPPER(F5),F4,0)+IF(G18="",0,IF(LEN(SUBSTITUTE(SUBSTITUTE(UPPER(G18),"C",""),"D",""))&gt;0,0,IF(AND(ISNUMBER(FIND("C",UPPER(G18))),ISNUMBER(FIND("D",UPPER(G18)))),G4,G4/2)))+IF(UPPER(H18)=UPPER(H5),H4,0)+IF(UPPER(I18)=UPPER(I5),I4,0)+IF(UPPER(J18)=UPPER(J5),J4,0)+IF(K18="",0,IF(LEN(SUBSTITUTE(SUBSTITUTE(UPPER(K18),"A",""),"C",""))&gt;0,0,IF(AND(ISNUMBER(FIND("A",UPPER(K18))),ISNUMBER(FIND("C",UPPER(K18)))),K4,K4/2)))+IF(UPPER(L18)=UPPER(L5),L4,0)+IF(UPPER(M18)=UPPER(M5),M4,0)+IF(UPPER(N18)=UPPER(N5),N4,0)+IF(O18="",0,IF(LEN(SUBSTITUTE(SUBSTITUTE(UPPER(O18),"A",""),"B",""))&gt;0,0,IF(AND(ISNUMBER(FIND("A",UPPER(O18))),ISNUMBER(FIND("B",UPPER(O18)))),O4,O4/2)))+IF(UPPER(P18)=UPPER(P5),P4,0)+IF(UPPER(Q18)=UPPER(Q5),Q4,0)+IF(UPPER(R18)=UPPER(R5),R4,0)+IF(UPPER(S18)=UPPER(S5),S4,0)+IF(UPPER(T18)=UPPER(T5),T4,0)+IF(U18="",0,IF(LEN(SUBSTITUTE(SUBSTITUTE(UPPER(U18),"A",""),"D",""))&gt;0,0,IF(AND(ISNUMBER(FIND("A",UPPER(U18))),ISNUMBER(FIND("D",UPPER(U18)))),U4,U4/2)))+IF(V18="",0,IF(LEN(SUBSTITUTE(SUBSTITUTE(UPPER(V18),"C",""),"D",""))&gt;0,0,IF(AND(ISNUMBER(FIND("C",UPPER(V18))),ISNUMBER(FIND("D",UPPER(V18)))),V4,V4/2)))+IF(UPPER(W18)=UPPER(W5),W4,0)+IF(UPPER(X18)=UPPER(X5),X4,0)+IF(UPPER(Y18)=UPPER(Y5),Y4,0)+IF(UPPER(Z18)=UPPER(Z5),Z4,0)+IF(AA18="",0,IF(LEN(SUBSTITUTE(SUBSTITUTE(UPPER(AA18),"C",""),"D",""))&gt;0,0,IF(AND(ISNUMBER(FIND("C",UPPER(AA18))),ISNUMBER(FIND("D",UPPER(AA18)))),AA4,AA4/2)))+IF(AB18="",0,IF(LEN(SUBSTITUTE(SUBSTITUTE(UPPER(AB18),"C",""),"D",""))&gt;0,0,IF(AND(ISNUMBER(FIND("C",UPPER(AB18))),ISNUMBER(FIND("D",UPPER(AB18)))),AB4,AB4/2)))+IF(UPPER(AC18)=UPPER(AC5),AC4,0)+IF(UPPER(AD18)=UPPER(AD5),AD4,0)+IF(UPPER(AE18)=UPPER(AE5),AE4,0)+IF(UPPER(AF18)=UPPER(AF5),AF4,0)+IF(UPPER(AG18)=UPPER(AG5),AG4,0)+IF(UPPER(AH18)=UPPER(AH5),AH4,0)+IF(AI18="",0,IF(LEN(SUBSTITUTE(SUBSTITUTE(UPPER(AI18),"A",""),"C",""))&gt;0,0,IF(AND(ISNUMBER(FIND("A",UPPER(AI18))),ISNUMBER(FIND("C",UPPER(AI18)))),AI4,AI4/2)))+IF(UPPER(AJ18)=UPPER(AJ5),AJ4,0)+IF(UPPER(AK18)=UPPER(AK5),AK4,0)+IF(UPPER(AL18)=UPPER(AL5),AL4,0)+IF(UPPER(AM18)=UPPER(AM5),AM4,0)+IF(AN18="",0,IF(LEN(SUBSTITUTE(SUBSTITUTE(UPPER(AN18),"A",""),"C",""))&gt;0,0,IF(AND(ISNUMBER(FIND("A",UPPER(AN18))),ISNUMBER(FIND("C",UPPER(AN18)))),AN4,AN4/2)))+IF(UPPER(AO18)=UPPER(AO5),AO4,0)+IF(UPPER(AP18)=UPPER(AP5),AP4,0)+IF(OR(UPPER(AQ18)="A",UPPER(AQ18)="B"),AQ4,0)+IF(AR18="",0,IF(LEN(SUBSTITUTE(SUBSTITUTE(UPPER(AR18),"A",""),"D",""))&gt;0,0,IF(AND(ISNUMBER(FIND("A",UPPER(AR18))),ISNUMBER(FIND("D",UPPER(AR18)))),AR4,AR4/2)))</f>
        <v>86.25</v>
      </c>
      <c r="E18" s="13" t="s">
        <v>61</v>
      </c>
      <c r="F18" s="13" t="s">
        <v>61</v>
      </c>
      <c r="G18" s="13" t="s">
        <v>62</v>
      </c>
      <c r="H18" s="13" t="s">
        <v>63</v>
      </c>
      <c r="I18" s="13" t="s">
        <v>60</v>
      </c>
      <c r="J18" s="13" t="s">
        <v>60</v>
      </c>
      <c r="K18" s="13" t="s">
        <v>65</v>
      </c>
      <c r="L18" s="13" t="s">
        <v>63</v>
      </c>
      <c r="M18" s="13" t="s">
        <v>61</v>
      </c>
      <c r="N18" s="13" t="s">
        <v>63</v>
      </c>
      <c r="O18" s="13" t="s">
        <v>66</v>
      </c>
      <c r="P18" s="13" t="s">
        <v>64</v>
      </c>
      <c r="Q18" s="13" t="s">
        <v>64</v>
      </c>
      <c r="R18" s="13" t="s">
        <v>61</v>
      </c>
      <c r="S18" s="13" t="s">
        <v>63</v>
      </c>
      <c r="T18" s="13" t="s">
        <v>64</v>
      </c>
      <c r="U18" s="13" t="s">
        <v>65</v>
      </c>
      <c r="V18" s="13" t="s">
        <v>62</v>
      </c>
      <c r="W18" s="13" t="s">
        <v>61</v>
      </c>
      <c r="X18" s="13" t="s">
        <v>63</v>
      </c>
      <c r="Y18" s="13" t="s">
        <v>61</v>
      </c>
      <c r="Z18" s="13" t="s">
        <v>63</v>
      </c>
      <c r="AA18" s="13" t="s">
        <v>67</v>
      </c>
      <c r="AB18" s="13" t="s">
        <v>62</v>
      </c>
      <c r="AC18" s="13" t="s">
        <v>60</v>
      </c>
      <c r="AD18" s="13" t="s">
        <v>64</v>
      </c>
      <c r="AE18" s="13" t="s">
        <v>60</v>
      </c>
      <c r="AF18" s="13" t="s">
        <v>61</v>
      </c>
      <c r="AG18" s="13" t="s">
        <v>64</v>
      </c>
      <c r="AH18" s="13" t="s">
        <v>63</v>
      </c>
      <c r="AI18" s="13" t="s">
        <v>65</v>
      </c>
      <c r="AJ18" s="13" t="s">
        <v>64</v>
      </c>
      <c r="AK18" s="13" t="s">
        <v>61</v>
      </c>
      <c r="AL18" s="13" t="s">
        <v>63</v>
      </c>
      <c r="AM18" s="13" t="s">
        <v>63</v>
      </c>
      <c r="AN18" s="13" t="s">
        <v>63</v>
      </c>
      <c r="AO18" s="13" t="s">
        <v>61</v>
      </c>
      <c r="AP18" s="13" t="s">
        <v>60</v>
      </c>
      <c r="AQ18" s="13" t="s">
        <v>60</v>
      </c>
      <c r="AR18" s="13" t="s">
        <v>67</v>
      </c>
    </row>
    <row r="19">
      <c r="A19" s="10">
        <v>2.023905322E9</v>
      </c>
      <c r="B19" s="10" t="s">
        <v>94</v>
      </c>
      <c r="C19" s="10" t="s">
        <v>95</v>
      </c>
      <c r="D19" s="12">
        <f>IF(OR(UPPER(E19)="A",UPPER(E19)="B"),E4,0)+IF(UPPER(F19)=UPPER(F5),F4,0)+IF(G19="",0,IF(LEN(SUBSTITUTE(SUBSTITUTE(UPPER(G19),"C",""),"D",""))&gt;0,0,IF(AND(ISNUMBER(FIND("C",UPPER(G19))),ISNUMBER(FIND("D",UPPER(G19)))),G4,G4/2)))+IF(UPPER(H19)=UPPER(H5),H4,0)+IF(UPPER(I19)=UPPER(I5),I4,0)+IF(UPPER(J19)=UPPER(J5),J4,0)+IF(K19="",0,IF(LEN(SUBSTITUTE(SUBSTITUTE(UPPER(K19),"A",""),"C",""))&gt;0,0,IF(AND(ISNUMBER(FIND("A",UPPER(K19))),ISNUMBER(FIND("C",UPPER(K19)))),K4,K4/2)))+IF(UPPER(L19)=UPPER(L5),L4,0)+IF(UPPER(M19)=UPPER(M5),M4,0)+IF(UPPER(N19)=UPPER(N5),N4,0)+IF(O19="",0,IF(LEN(SUBSTITUTE(SUBSTITUTE(UPPER(O19),"A",""),"B",""))&gt;0,0,IF(AND(ISNUMBER(FIND("A",UPPER(O19))),ISNUMBER(FIND("B",UPPER(O19)))),O4,O4/2)))+IF(UPPER(P19)=UPPER(P5),P4,0)+IF(UPPER(Q19)=UPPER(Q5),Q4,0)+IF(UPPER(R19)=UPPER(R5),R4,0)+IF(UPPER(S19)=UPPER(S5),S4,0)+IF(UPPER(T19)=UPPER(T5),T4,0)+IF(U19="",0,IF(LEN(SUBSTITUTE(SUBSTITUTE(UPPER(U19),"A",""),"D",""))&gt;0,0,IF(AND(ISNUMBER(FIND("A",UPPER(U19))),ISNUMBER(FIND("D",UPPER(U19)))),U4,U4/2)))+IF(V19="",0,IF(LEN(SUBSTITUTE(SUBSTITUTE(UPPER(V19),"C",""),"D",""))&gt;0,0,IF(AND(ISNUMBER(FIND("C",UPPER(V19))),ISNUMBER(FIND("D",UPPER(V19)))),V4,V4/2)))+IF(UPPER(W19)=UPPER(W5),W4,0)+IF(UPPER(X19)=UPPER(X5),X4,0)+IF(UPPER(Y19)=UPPER(Y5),Y4,0)+IF(UPPER(Z19)=UPPER(Z5),Z4,0)+IF(AA19="",0,IF(LEN(SUBSTITUTE(SUBSTITUTE(UPPER(AA19),"C",""),"D",""))&gt;0,0,IF(AND(ISNUMBER(FIND("C",UPPER(AA19))),ISNUMBER(FIND("D",UPPER(AA19)))),AA4,AA4/2)))+IF(AB19="",0,IF(LEN(SUBSTITUTE(SUBSTITUTE(UPPER(AB19),"C",""),"D",""))&gt;0,0,IF(AND(ISNUMBER(FIND("C",UPPER(AB19))),ISNUMBER(FIND("D",UPPER(AB19)))),AB4,AB4/2)))+IF(UPPER(AC19)=UPPER(AC5),AC4,0)+IF(UPPER(AD19)=UPPER(AD5),AD4,0)+IF(UPPER(AE19)=UPPER(AE5),AE4,0)+IF(UPPER(AF19)=UPPER(AF5),AF4,0)+IF(UPPER(AG19)=UPPER(AG5),AG4,0)+IF(UPPER(AH19)=UPPER(AH5),AH4,0)+IF(AI19="",0,IF(LEN(SUBSTITUTE(SUBSTITUTE(UPPER(AI19),"A",""),"C",""))&gt;0,0,IF(AND(ISNUMBER(FIND("A",UPPER(AI19))),ISNUMBER(FIND("C",UPPER(AI19)))),AI4,AI4/2)))+IF(UPPER(AJ19)=UPPER(AJ5),AJ4,0)+IF(UPPER(AK19)=UPPER(AK5),AK4,0)+IF(UPPER(AL19)=UPPER(AL5),AL4,0)+IF(UPPER(AM19)=UPPER(AM5),AM4,0)+IF(AN19="",0,IF(LEN(SUBSTITUTE(SUBSTITUTE(UPPER(AN19),"A",""),"C",""))&gt;0,0,IF(AND(ISNUMBER(FIND("A",UPPER(AN19))),ISNUMBER(FIND("C",UPPER(AN19)))),AN4,AN4/2)))+IF(UPPER(AO19)=UPPER(AO5),AO4,0)+IF(UPPER(AP19)=UPPER(AP5),AP4,0)+IF(OR(UPPER(AQ19)="A",UPPER(AQ19)="B"),AQ4,0)+IF(AR19="",0,IF(LEN(SUBSTITUTE(SUBSTITUTE(UPPER(AR19),"A",""),"D",""))&gt;0,0,IF(AND(ISNUMBER(FIND("A",UPPER(AR19))),ISNUMBER(FIND("D",UPPER(AR19)))),AR4,AR4/2)))</f>
        <v>78.75</v>
      </c>
      <c r="E19" s="13" t="s">
        <v>61</v>
      </c>
      <c r="F19" s="13" t="s">
        <v>61</v>
      </c>
      <c r="G19" s="13" t="s">
        <v>65</v>
      </c>
      <c r="H19" s="13" t="s">
        <v>63</v>
      </c>
      <c r="I19" s="13" t="s">
        <v>60</v>
      </c>
      <c r="J19" s="13" t="s">
        <v>60</v>
      </c>
      <c r="K19" s="13" t="s">
        <v>65</v>
      </c>
      <c r="L19" s="13" t="s">
        <v>63</v>
      </c>
      <c r="M19" s="13" t="s">
        <v>61</v>
      </c>
      <c r="N19" s="13" t="s">
        <v>63</v>
      </c>
      <c r="O19" s="13" t="s">
        <v>66</v>
      </c>
      <c r="P19" s="13" t="s">
        <v>60</v>
      </c>
      <c r="Q19" s="13" t="s">
        <v>64</v>
      </c>
      <c r="R19" s="13" t="s">
        <v>61</v>
      </c>
      <c r="S19" s="13" t="s">
        <v>63</v>
      </c>
      <c r="T19" s="13" t="s">
        <v>60</v>
      </c>
      <c r="U19" s="13" t="s">
        <v>65</v>
      </c>
      <c r="V19" s="13" t="s">
        <v>62</v>
      </c>
      <c r="W19" s="13" t="s">
        <v>60</v>
      </c>
      <c r="X19" s="13" t="s">
        <v>63</v>
      </c>
      <c r="Y19" s="13" t="s">
        <v>60</v>
      </c>
      <c r="Z19" s="13" t="s">
        <v>63</v>
      </c>
      <c r="AA19" s="13" t="s">
        <v>67</v>
      </c>
      <c r="AB19" s="13" t="s">
        <v>62</v>
      </c>
      <c r="AC19" s="13" t="s">
        <v>60</v>
      </c>
      <c r="AD19" s="13" t="s">
        <v>61</v>
      </c>
      <c r="AE19" s="13" t="s">
        <v>60</v>
      </c>
      <c r="AF19" s="13" t="s">
        <v>61</v>
      </c>
      <c r="AG19" s="13" t="s">
        <v>63</v>
      </c>
      <c r="AH19" s="13" t="s">
        <v>63</v>
      </c>
      <c r="AI19" s="13" t="s">
        <v>65</v>
      </c>
      <c r="AJ19" s="13" t="s">
        <v>64</v>
      </c>
      <c r="AK19" s="13" t="s">
        <v>61</v>
      </c>
      <c r="AL19" s="13" t="s">
        <v>63</v>
      </c>
      <c r="AM19" s="13" t="s">
        <v>63</v>
      </c>
      <c r="AN19" s="13" t="s">
        <v>63</v>
      </c>
      <c r="AO19" s="13" t="s">
        <v>61</v>
      </c>
      <c r="AP19" s="13" t="s">
        <v>60</v>
      </c>
      <c r="AQ19" s="13" t="s">
        <v>60</v>
      </c>
      <c r="AR19" s="13" t="s">
        <v>67</v>
      </c>
    </row>
    <row r="20">
      <c r="D20" s="12">
        <f>IF(OR(UPPER(E20)="A",UPPER(E20)="B"),E4,0)+IF(UPPER(F20)=UPPER(F5),F4,0)+IF(G20="",0,IF(LEN(SUBSTITUTE(SUBSTITUTE(UPPER(G20),"C",""),"D",""))&gt;0,0,IF(AND(ISNUMBER(FIND("C",UPPER(G20))),ISNUMBER(FIND("D",UPPER(G20)))),G4,G4/2)))+IF(UPPER(H20)=UPPER(H5),H4,0)+IF(UPPER(I20)=UPPER(I5),I4,0)+IF(UPPER(J20)=UPPER(J5),J4,0)+IF(K20="",0,IF(LEN(SUBSTITUTE(SUBSTITUTE(UPPER(K20),"A",""),"C",""))&gt;0,0,IF(AND(ISNUMBER(FIND("A",UPPER(K20))),ISNUMBER(FIND("C",UPPER(K20)))),K4,K4/2)))+IF(UPPER(L20)=UPPER(L5),L4,0)+IF(UPPER(M20)=UPPER(M5),M4,0)+IF(UPPER(N20)=UPPER(N5),N4,0)+IF(O20="",0,IF(LEN(SUBSTITUTE(SUBSTITUTE(UPPER(O20),"A",""),"B",""))&gt;0,0,IF(AND(ISNUMBER(FIND("A",UPPER(O20))),ISNUMBER(FIND("B",UPPER(O20)))),O4,O4/2)))+IF(UPPER(P20)=UPPER(P5),P4,0)+IF(UPPER(Q20)=UPPER(Q5),Q4,0)+IF(UPPER(R20)=UPPER(R5),R4,0)+IF(UPPER(S20)=UPPER(S5),S4,0)+IF(UPPER(T20)=UPPER(T5),T4,0)+IF(U20="",0,IF(LEN(SUBSTITUTE(SUBSTITUTE(UPPER(U20),"A",""),"D",""))&gt;0,0,IF(AND(ISNUMBER(FIND("A",UPPER(U20))),ISNUMBER(FIND("D",UPPER(U20)))),U4,U4/2)))+IF(V20="",0,IF(LEN(SUBSTITUTE(SUBSTITUTE(UPPER(V20),"C",""),"D",""))&gt;0,0,IF(AND(ISNUMBER(FIND("C",UPPER(V20))),ISNUMBER(FIND("D",UPPER(V20)))),V4,V4/2)))+IF(UPPER(W20)=UPPER(W5),W4,0)+IF(UPPER(X20)=UPPER(X5),X4,0)+IF(UPPER(Y20)=UPPER(Y5),Y4,0)+IF(UPPER(Z20)=UPPER(Z5),Z4,0)+IF(AA20="",0,IF(LEN(SUBSTITUTE(SUBSTITUTE(UPPER(AA20),"C",""),"D",""))&gt;0,0,IF(AND(ISNUMBER(FIND("C",UPPER(AA20))),ISNUMBER(FIND("D",UPPER(AA20)))),AA4,AA4/2)))+IF(AB20="",0,IF(LEN(SUBSTITUTE(SUBSTITUTE(UPPER(AB20),"C",""),"D",""))&gt;0,0,IF(AND(ISNUMBER(FIND("C",UPPER(AB20))),ISNUMBER(FIND("D",UPPER(AB20)))),AB4,AB4/2)))+IF(UPPER(AC20)=UPPER(AC5),AC4,0)+IF(UPPER(AD20)=UPPER(AD5),AD4,0)+IF(UPPER(AE20)=UPPER(AE5),AE4,0)+IF(UPPER(AF20)=UPPER(AF5),AF4,0)+IF(UPPER(AG20)=UPPER(AG5),AG4,0)+IF(UPPER(AH20)=UPPER(AH5),AH4,0)+IF(AI20="",0,IF(LEN(SUBSTITUTE(SUBSTITUTE(UPPER(AI20),"A",""),"C",""))&gt;0,0,IF(AND(ISNUMBER(FIND("A",UPPER(AI20))),ISNUMBER(FIND("C",UPPER(AI20)))),AI4,AI4/2)))+IF(UPPER(AJ20)=UPPER(AJ5),AJ4,0)+IF(UPPER(AK20)=UPPER(AK5),AK4,0)+IF(UPPER(AL20)=UPPER(AL5),AL4,0)+IF(UPPER(AM20)=UPPER(AM5),AM4,0)+IF(AN20="",0,IF(LEN(SUBSTITUTE(SUBSTITUTE(UPPER(AN20),"A",""),"C",""))&gt;0,0,IF(AND(ISNUMBER(FIND("A",UPPER(AN20))),ISNUMBER(FIND("C",UPPER(AN20)))),AN4,AN4/2)))+IF(UPPER(AO20)=UPPER(AO5),AO4,0)+IF(UPPER(AP20)=UPPER(AP5),AP4,0)+IF(OR(UPPER(AQ20)="A",UPPER(AQ20)="B"),AQ4,0)+IF(AR20="",0,IF(LEN(SUBSTITUTE(SUBSTITUTE(UPPER(AR20),"A",""),"D",""))&gt;0,0,IF(AND(ISNUMBER(FIND("A",UPPER(AR20))),ISNUMBER(FIND("D",UPPER(AR20)))),AR4,AR4/2)))</f>
        <v>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</row>
    <row r="21">
      <c r="A21" s="10">
        <v>2.023905321E9</v>
      </c>
      <c r="B21" s="10" t="s">
        <v>96</v>
      </c>
      <c r="C21" s="10" t="s">
        <v>97</v>
      </c>
      <c r="D21" s="12">
        <f>IF(OR(UPPER(E21)="A",UPPER(E21)="B"),E4,0)+IF(UPPER(F21)=UPPER(F5),F4,0)+IF(G21="",0,IF(LEN(SUBSTITUTE(SUBSTITUTE(UPPER(G21),"C",""),"D",""))&gt;0,0,IF(AND(ISNUMBER(FIND("C",UPPER(G21))),ISNUMBER(FIND("D",UPPER(G21)))),G4,G4/2)))+IF(UPPER(H21)=UPPER(H5),H4,0)+IF(UPPER(I21)=UPPER(I5),I4,0)+IF(UPPER(J21)=UPPER(J5),J4,0)+IF(K21="",0,IF(LEN(SUBSTITUTE(SUBSTITUTE(UPPER(K21),"A",""),"C",""))&gt;0,0,IF(AND(ISNUMBER(FIND("A",UPPER(K21))),ISNUMBER(FIND("C",UPPER(K21)))),K4,K4/2)))+IF(UPPER(L21)=UPPER(L5),L4,0)+IF(UPPER(M21)=UPPER(M5),M4,0)+IF(UPPER(N21)=UPPER(N5),N4,0)+IF(O21="",0,IF(LEN(SUBSTITUTE(SUBSTITUTE(UPPER(O21),"A",""),"B",""))&gt;0,0,IF(AND(ISNUMBER(FIND("A",UPPER(O21))),ISNUMBER(FIND("B",UPPER(O21)))),O4,O4/2)))+IF(UPPER(P21)=UPPER(P5),P4,0)+IF(UPPER(Q21)=UPPER(Q5),Q4,0)+IF(UPPER(R21)=UPPER(R5),R4,0)+IF(UPPER(S21)=UPPER(S5),S4,0)+IF(UPPER(T21)=UPPER(T5),T4,0)+IF(U21="",0,IF(LEN(SUBSTITUTE(SUBSTITUTE(UPPER(U21),"A",""),"D",""))&gt;0,0,IF(AND(ISNUMBER(FIND("A",UPPER(U21))),ISNUMBER(FIND("D",UPPER(U21)))),U4,U4/2)))+IF(V21="",0,IF(LEN(SUBSTITUTE(SUBSTITUTE(UPPER(V21),"C",""),"D",""))&gt;0,0,IF(AND(ISNUMBER(FIND("C",UPPER(V21))),ISNUMBER(FIND("D",UPPER(V21)))),V4,V4/2)))+IF(UPPER(W21)=UPPER(W5),W4,0)+IF(UPPER(X21)=UPPER(X5),X4,0)+IF(UPPER(Y21)=UPPER(Y5),Y4,0)+IF(UPPER(Z21)=UPPER(Z5),Z4,0)+IF(AA21="",0,IF(LEN(SUBSTITUTE(SUBSTITUTE(UPPER(AA21),"C",""),"D",""))&gt;0,0,IF(AND(ISNUMBER(FIND("C",UPPER(AA21))),ISNUMBER(FIND("D",UPPER(AA21)))),AA4,AA4/2)))+IF(AB21="",0,IF(LEN(SUBSTITUTE(SUBSTITUTE(UPPER(AB21),"C",""),"D",""))&gt;0,0,IF(AND(ISNUMBER(FIND("C",UPPER(AB21))),ISNUMBER(FIND("D",UPPER(AB21)))),AB4,AB4/2)))+IF(UPPER(AC21)=UPPER(AC5),AC4,0)+IF(UPPER(AD21)=UPPER(AD5),AD4,0)+IF(UPPER(AE21)=UPPER(AE5),AE4,0)+IF(UPPER(AF21)=UPPER(AF5),AF4,0)+IF(UPPER(AG21)=UPPER(AG5),AG4,0)+IF(UPPER(AH21)=UPPER(AH5),AH4,0)+IF(AI21="",0,IF(LEN(SUBSTITUTE(SUBSTITUTE(UPPER(AI21),"A",""),"C",""))&gt;0,0,IF(AND(ISNUMBER(FIND("A",UPPER(AI21))),ISNUMBER(FIND("C",UPPER(AI21)))),AI4,AI4/2)))+IF(UPPER(AJ21)=UPPER(AJ5),AJ4,0)+IF(UPPER(AK21)=UPPER(AK5),AK4,0)+IF(UPPER(AL21)=UPPER(AL5),AL4,0)+IF(UPPER(AM21)=UPPER(AM5),AM4,0)+IF(AN21="",0,IF(LEN(SUBSTITUTE(SUBSTITUTE(UPPER(AN21),"A",""),"C",""))&gt;0,0,IF(AND(ISNUMBER(FIND("A",UPPER(AN21))),ISNUMBER(FIND("C",UPPER(AN21)))),AN4,AN4/2)))+IF(UPPER(AO21)=UPPER(AO5),AO4,0)+IF(UPPER(AP21)=UPPER(AP5),AP4,0)+IF(OR(UPPER(AQ21)="A",UPPER(AQ21)="B"),AQ4,0)+IF(AR21="",0,IF(LEN(SUBSTITUTE(SUBSTITUTE(UPPER(AR21),"A",""),"D",""))&gt;0,0,IF(AND(ISNUMBER(FIND("A",UPPER(AR21))),ISNUMBER(FIND("D",UPPER(AR21)))),AR4,AR4/2)))</f>
        <v>30</v>
      </c>
      <c r="E21" s="13" t="s">
        <v>60</v>
      </c>
      <c r="F21" s="13" t="s">
        <v>63</v>
      </c>
      <c r="G21" s="13" t="s">
        <v>73</v>
      </c>
      <c r="H21" s="13" t="s">
        <v>63</v>
      </c>
      <c r="I21" s="13" t="s">
        <v>60</v>
      </c>
      <c r="J21" s="13" t="s">
        <v>64</v>
      </c>
      <c r="K21" s="13" t="s">
        <v>67</v>
      </c>
      <c r="L21" s="13" t="s">
        <v>60</v>
      </c>
      <c r="M21" s="13" t="s">
        <v>61</v>
      </c>
      <c r="N21" s="13" t="s">
        <v>63</v>
      </c>
      <c r="O21" s="13" t="s">
        <v>62</v>
      </c>
      <c r="P21" s="13" t="s">
        <v>60</v>
      </c>
      <c r="Q21" s="13" t="s">
        <v>61</v>
      </c>
      <c r="R21" s="13" t="s">
        <v>61</v>
      </c>
      <c r="S21" s="13" t="s">
        <v>61</v>
      </c>
      <c r="T21" s="13" t="s">
        <v>63</v>
      </c>
      <c r="U21" s="13" t="s">
        <v>74</v>
      </c>
      <c r="V21" s="13" t="s">
        <v>65</v>
      </c>
      <c r="W21" s="13" t="s">
        <v>64</v>
      </c>
      <c r="X21" s="13" t="s">
        <v>63</v>
      </c>
      <c r="Y21" s="13" t="s">
        <v>60</v>
      </c>
      <c r="Z21" s="13" t="s">
        <v>61</v>
      </c>
      <c r="AA21" s="13" t="s">
        <v>74</v>
      </c>
      <c r="AB21" s="13" t="s">
        <v>62</v>
      </c>
      <c r="AC21" s="13" t="s">
        <v>61</v>
      </c>
      <c r="AD21" s="13" t="s">
        <v>63</v>
      </c>
      <c r="AE21" s="13" t="s">
        <v>64</v>
      </c>
      <c r="AF21" s="13" t="s">
        <v>64</v>
      </c>
      <c r="AG21" s="13" t="s">
        <v>63</v>
      </c>
      <c r="AH21" s="13" t="s">
        <v>61</v>
      </c>
      <c r="AI21" s="13" t="s">
        <v>73</v>
      </c>
      <c r="AJ21" s="13" t="s">
        <v>61</v>
      </c>
      <c r="AK21" s="13" t="s">
        <v>63</v>
      </c>
      <c r="AL21" s="13" t="s">
        <v>60</v>
      </c>
      <c r="AM21" s="13" t="s">
        <v>60</v>
      </c>
      <c r="AN21" s="13" t="s">
        <v>73</v>
      </c>
      <c r="AO21" s="13" t="s">
        <v>61</v>
      </c>
      <c r="AP21" s="13" t="s">
        <v>63</v>
      </c>
      <c r="AQ21" s="13" t="s">
        <v>64</v>
      </c>
      <c r="AR21" s="13" t="s">
        <v>62</v>
      </c>
    </row>
    <row r="22" ht="15.75" customHeight="1">
      <c r="A22" s="10">
        <v>2.023901704E9</v>
      </c>
      <c r="B22" s="10" t="s">
        <v>98</v>
      </c>
      <c r="C22" s="10" t="s">
        <v>99</v>
      </c>
      <c r="D22" s="12">
        <f>IF(OR(UPPER(E22)="A",UPPER(E22)="B"),E4,0)+IF(UPPER(F22)=UPPER(F5),F4,0)+IF(G22="",0,IF(LEN(SUBSTITUTE(SUBSTITUTE(UPPER(G22),"C",""),"D",""))&gt;0,0,IF(AND(ISNUMBER(FIND("C",UPPER(G22))),ISNUMBER(FIND("D",UPPER(G22)))),G4,G4/2)))+IF(UPPER(H22)=UPPER(H5),H4,0)+IF(UPPER(I22)=UPPER(I5),I4,0)+IF(UPPER(J22)=UPPER(J5),J4,0)+IF(K22="",0,IF(LEN(SUBSTITUTE(SUBSTITUTE(UPPER(K22),"A",""),"C",""))&gt;0,0,IF(AND(ISNUMBER(FIND("A",UPPER(K22))),ISNUMBER(FIND("C",UPPER(K22)))),K4,K4/2)))+IF(UPPER(L22)=UPPER(L5),L4,0)+IF(UPPER(M22)=UPPER(M5),M4,0)+IF(UPPER(N22)=UPPER(N5),N4,0)+IF(O22="",0,IF(LEN(SUBSTITUTE(SUBSTITUTE(UPPER(O22),"A",""),"B",""))&gt;0,0,IF(AND(ISNUMBER(FIND("A",UPPER(O22))),ISNUMBER(FIND("B",UPPER(O22)))),O4,O4/2)))+IF(UPPER(P22)=UPPER(P5),P4,0)+IF(UPPER(Q22)=UPPER(Q5),Q4,0)+IF(UPPER(R22)=UPPER(R5),R4,0)+IF(UPPER(S22)=UPPER(S5),S4,0)+IF(UPPER(T22)=UPPER(T5),T4,0)+IF(U22="",0,IF(LEN(SUBSTITUTE(SUBSTITUTE(UPPER(U22),"A",""),"D",""))&gt;0,0,IF(AND(ISNUMBER(FIND("A",UPPER(U22))),ISNUMBER(FIND("D",UPPER(U22)))),U4,U4/2)))+IF(V22="",0,IF(LEN(SUBSTITUTE(SUBSTITUTE(UPPER(V22),"C",""),"D",""))&gt;0,0,IF(AND(ISNUMBER(FIND("C",UPPER(V22))),ISNUMBER(FIND("D",UPPER(V22)))),V4,V4/2)))+IF(UPPER(W22)=UPPER(W5),W4,0)+IF(UPPER(X22)=UPPER(X5),X4,0)+IF(UPPER(Y22)=UPPER(Y5),Y4,0)+IF(UPPER(Z22)=UPPER(Z5),Z4,0)+IF(AA22="",0,IF(LEN(SUBSTITUTE(SUBSTITUTE(UPPER(AA22),"C",""),"D",""))&gt;0,0,IF(AND(ISNUMBER(FIND("C",UPPER(AA22))),ISNUMBER(FIND("D",UPPER(AA22)))),AA4,AA4/2)))+IF(AB22="",0,IF(LEN(SUBSTITUTE(SUBSTITUTE(UPPER(AB22),"C",""),"D",""))&gt;0,0,IF(AND(ISNUMBER(FIND("C",UPPER(AB22))),ISNUMBER(FIND("D",UPPER(AB22)))),AB4,AB4/2)))+IF(UPPER(AC22)=UPPER(AC5),AC4,0)+IF(UPPER(AD22)=UPPER(AD5),AD4,0)+IF(UPPER(AE22)=UPPER(AE5),AE4,0)+IF(UPPER(AF22)=UPPER(AF5),AF4,0)+IF(UPPER(AG22)=UPPER(AG5),AG4,0)+IF(UPPER(AH22)=UPPER(AH5),AH4,0)+IF(AI22="",0,IF(LEN(SUBSTITUTE(SUBSTITUTE(UPPER(AI22),"A",""),"C",""))&gt;0,0,IF(AND(ISNUMBER(FIND("A",UPPER(AI22))),ISNUMBER(FIND("C",UPPER(AI22)))),AI4,AI4/2)))+IF(UPPER(AJ22)=UPPER(AJ5),AJ4,0)+IF(UPPER(AK22)=UPPER(AK5),AK4,0)+IF(UPPER(AL22)=UPPER(AL5),AL4,0)+IF(UPPER(AM22)=UPPER(AM5),AM4,0)+IF(AN22="",0,IF(LEN(SUBSTITUTE(SUBSTITUTE(UPPER(AN22),"A",""),"C",""))&gt;0,0,IF(AND(ISNUMBER(FIND("A",UPPER(AN22))),ISNUMBER(FIND("C",UPPER(AN22)))),AN4,AN4/2)))+IF(UPPER(AO22)=UPPER(AO5),AO4,0)+IF(UPPER(AP22)=UPPER(AP5),AP4,0)+IF(OR(UPPER(AQ22)="A",UPPER(AQ22)="B"),AQ4,0)+IF(AR22="",0,IF(LEN(SUBSTITUTE(SUBSTITUTE(UPPER(AR22),"A",""),"D",""))&gt;0,0,IF(AND(ISNUMBER(FIND("A",UPPER(AR22))),ISNUMBER(FIND("D",UPPER(AR22)))),AR4,AR4/2)))</f>
        <v>87.5</v>
      </c>
      <c r="E22" s="13" t="s">
        <v>61</v>
      </c>
      <c r="F22" s="13" t="s">
        <v>61</v>
      </c>
      <c r="G22" s="13" t="s">
        <v>62</v>
      </c>
      <c r="H22" s="13" t="s">
        <v>63</v>
      </c>
      <c r="I22" s="13" t="s">
        <v>61</v>
      </c>
      <c r="J22" s="13" t="s">
        <v>64</v>
      </c>
      <c r="K22" s="13" t="s">
        <v>65</v>
      </c>
      <c r="L22" s="13" t="s">
        <v>63</v>
      </c>
      <c r="M22" s="13" t="s">
        <v>61</v>
      </c>
      <c r="N22" s="13" t="s">
        <v>63</v>
      </c>
      <c r="O22" s="13" t="s">
        <v>66</v>
      </c>
      <c r="P22" s="13" t="s">
        <v>60</v>
      </c>
      <c r="Q22" s="13" t="s">
        <v>64</v>
      </c>
      <c r="R22" s="13" t="s">
        <v>61</v>
      </c>
      <c r="S22" s="13" t="s">
        <v>61</v>
      </c>
      <c r="T22" s="13" t="s">
        <v>64</v>
      </c>
      <c r="U22" s="13" t="s">
        <v>67</v>
      </c>
      <c r="V22" s="13" t="s">
        <v>66</v>
      </c>
      <c r="W22" s="13" t="s">
        <v>63</v>
      </c>
      <c r="X22" s="13" t="s">
        <v>63</v>
      </c>
      <c r="Y22" s="13" t="s">
        <v>60</v>
      </c>
      <c r="Z22" s="13" t="s">
        <v>63</v>
      </c>
      <c r="AA22" s="13" t="s">
        <v>67</v>
      </c>
      <c r="AB22" s="13" t="s">
        <v>62</v>
      </c>
      <c r="AC22" s="13" t="s">
        <v>60</v>
      </c>
      <c r="AD22" s="13" t="s">
        <v>64</v>
      </c>
      <c r="AE22" s="13" t="s">
        <v>60</v>
      </c>
      <c r="AF22" s="13" t="s">
        <v>61</v>
      </c>
      <c r="AG22" s="13" t="s">
        <v>64</v>
      </c>
      <c r="AH22" s="13" t="s">
        <v>63</v>
      </c>
      <c r="AI22" s="13" t="s">
        <v>65</v>
      </c>
      <c r="AJ22" s="13" t="s">
        <v>64</v>
      </c>
      <c r="AK22" s="13" t="s">
        <v>61</v>
      </c>
      <c r="AL22" s="13" t="s">
        <v>63</v>
      </c>
      <c r="AM22" s="13" t="s">
        <v>63</v>
      </c>
      <c r="AN22" s="13" t="s">
        <v>65</v>
      </c>
      <c r="AO22" s="13" t="s">
        <v>61</v>
      </c>
      <c r="AP22" s="13" t="s">
        <v>60</v>
      </c>
      <c r="AQ22" s="13" t="s">
        <v>61</v>
      </c>
      <c r="AR22" s="13" t="s">
        <v>67</v>
      </c>
    </row>
    <row r="23" ht="15.75" customHeight="1">
      <c r="A23" s="10">
        <v>2.023903117E9</v>
      </c>
      <c r="B23" s="10" t="s">
        <v>100</v>
      </c>
      <c r="C23" s="10" t="s">
        <v>101</v>
      </c>
      <c r="D23" s="12">
        <f>IF(OR(UPPER(E23)="A",UPPER(E23)="B"),E4,0)+IF(UPPER(F23)=UPPER(F5),F4,0)+IF(G23="",0,IF(LEN(SUBSTITUTE(SUBSTITUTE(UPPER(G23),"C",""),"D",""))&gt;0,0,IF(AND(ISNUMBER(FIND("C",UPPER(G23))),ISNUMBER(FIND("D",UPPER(G23)))),G4,G4/2)))+IF(UPPER(H23)=UPPER(H5),H4,0)+IF(UPPER(I23)=UPPER(I5),I4,0)+IF(UPPER(J23)=UPPER(J5),J4,0)+IF(K23="",0,IF(LEN(SUBSTITUTE(SUBSTITUTE(UPPER(K23),"A",""),"C",""))&gt;0,0,IF(AND(ISNUMBER(FIND("A",UPPER(K23))),ISNUMBER(FIND("C",UPPER(K23)))),K4,K4/2)))+IF(UPPER(L23)=UPPER(L5),L4,0)+IF(UPPER(M23)=UPPER(M5),M4,0)+IF(UPPER(N23)=UPPER(N5),N4,0)+IF(O23="",0,IF(LEN(SUBSTITUTE(SUBSTITUTE(UPPER(O23),"A",""),"B",""))&gt;0,0,IF(AND(ISNUMBER(FIND("A",UPPER(O23))),ISNUMBER(FIND("B",UPPER(O23)))),O4,O4/2)))+IF(UPPER(P23)=UPPER(P5),P4,0)+IF(UPPER(Q23)=UPPER(Q5),Q4,0)+IF(UPPER(R23)=UPPER(R5),R4,0)+IF(UPPER(S23)=UPPER(S5),S4,0)+IF(UPPER(T23)=UPPER(T5),T4,0)+IF(U23="",0,IF(LEN(SUBSTITUTE(SUBSTITUTE(UPPER(U23),"A",""),"D",""))&gt;0,0,IF(AND(ISNUMBER(FIND("A",UPPER(U23))),ISNUMBER(FIND("D",UPPER(U23)))),U4,U4/2)))+IF(V23="",0,IF(LEN(SUBSTITUTE(SUBSTITUTE(UPPER(V23),"C",""),"D",""))&gt;0,0,IF(AND(ISNUMBER(FIND("C",UPPER(V23))),ISNUMBER(FIND("D",UPPER(V23)))),V4,V4/2)))+IF(UPPER(W23)=UPPER(W5),W4,0)+IF(UPPER(X23)=UPPER(X5),X4,0)+IF(UPPER(Y23)=UPPER(Y5),Y4,0)+IF(UPPER(Z23)=UPPER(Z5),Z4,0)+IF(AA23="",0,IF(LEN(SUBSTITUTE(SUBSTITUTE(UPPER(AA23),"C",""),"D",""))&gt;0,0,IF(AND(ISNUMBER(FIND("C",UPPER(AA23))),ISNUMBER(FIND("D",UPPER(AA23)))),AA4,AA4/2)))+IF(AB23="",0,IF(LEN(SUBSTITUTE(SUBSTITUTE(UPPER(AB23),"C",""),"D",""))&gt;0,0,IF(AND(ISNUMBER(FIND("C",UPPER(AB23))),ISNUMBER(FIND("D",UPPER(AB23)))),AB4,AB4/2)))+IF(UPPER(AC23)=UPPER(AC5),AC4,0)+IF(UPPER(AD23)=UPPER(AD5),AD4,0)+IF(UPPER(AE23)=UPPER(AE5),AE4,0)+IF(UPPER(AF23)=UPPER(AF5),AF4,0)+IF(UPPER(AG23)=UPPER(AG5),AG4,0)+IF(UPPER(AH23)=UPPER(AH5),AH4,0)+IF(AI23="",0,IF(LEN(SUBSTITUTE(SUBSTITUTE(UPPER(AI23),"A",""),"C",""))&gt;0,0,IF(AND(ISNUMBER(FIND("A",UPPER(AI23))),ISNUMBER(FIND("C",UPPER(AI23)))),AI4,AI4/2)))+IF(UPPER(AJ23)=UPPER(AJ5),AJ4,0)+IF(UPPER(AK23)=UPPER(AK5),AK4,0)+IF(UPPER(AL23)=UPPER(AL5),AL4,0)+IF(UPPER(AM23)=UPPER(AM5),AM4,0)+IF(AN23="",0,IF(LEN(SUBSTITUTE(SUBSTITUTE(UPPER(AN23),"A",""),"C",""))&gt;0,0,IF(AND(ISNUMBER(FIND("A",UPPER(AN23))),ISNUMBER(FIND("C",UPPER(AN23)))),AN4,AN4/2)))+IF(UPPER(AO23)=UPPER(AO5),AO4,0)+IF(UPPER(AP23)=UPPER(AP5),AP4,0)+IF(OR(UPPER(AQ23)="A",UPPER(AQ23)="B"),AQ4,0)+IF(AR23="",0,IF(LEN(SUBSTITUTE(SUBSTITUTE(UPPER(AR23),"A",""),"D",""))&gt;0,0,IF(AND(ISNUMBER(FIND("A",UPPER(AR23))),ISNUMBER(FIND("D",UPPER(AR23)))),AR4,AR4/2)))</f>
        <v>80</v>
      </c>
      <c r="E23" s="13" t="s">
        <v>61</v>
      </c>
      <c r="F23" s="13" t="s">
        <v>61</v>
      </c>
      <c r="G23" s="13" t="s">
        <v>62</v>
      </c>
      <c r="H23" s="13" t="s">
        <v>63</v>
      </c>
      <c r="I23" s="13" t="s">
        <v>60</v>
      </c>
      <c r="J23" s="13" t="s">
        <v>63</v>
      </c>
      <c r="K23" s="13" t="s">
        <v>65</v>
      </c>
      <c r="L23" s="13" t="s">
        <v>63</v>
      </c>
      <c r="M23" s="13" t="s">
        <v>61</v>
      </c>
      <c r="N23" s="13" t="s">
        <v>64</v>
      </c>
      <c r="O23" s="13" t="s">
        <v>66</v>
      </c>
      <c r="P23" s="13" t="s">
        <v>60</v>
      </c>
      <c r="Q23" s="13" t="s">
        <v>64</v>
      </c>
      <c r="R23" s="13" t="s">
        <v>61</v>
      </c>
      <c r="S23" s="13" t="s">
        <v>63</v>
      </c>
      <c r="T23" s="13" t="s">
        <v>64</v>
      </c>
      <c r="U23" s="13" t="s">
        <v>66</v>
      </c>
      <c r="V23" s="13" t="s">
        <v>66</v>
      </c>
      <c r="W23" s="13" t="s">
        <v>61</v>
      </c>
      <c r="X23" s="13" t="s">
        <v>63</v>
      </c>
      <c r="Y23" s="13" t="s">
        <v>63</v>
      </c>
      <c r="Z23" s="13" t="s">
        <v>61</v>
      </c>
      <c r="AA23" s="13" t="s">
        <v>74</v>
      </c>
      <c r="AB23" s="13" t="s">
        <v>62</v>
      </c>
      <c r="AC23" s="13" t="s">
        <v>60</v>
      </c>
      <c r="AD23" s="13" t="s">
        <v>64</v>
      </c>
      <c r="AE23" s="13" t="s">
        <v>60</v>
      </c>
      <c r="AF23" s="13" t="s">
        <v>61</v>
      </c>
      <c r="AG23" s="13" t="s">
        <v>64</v>
      </c>
      <c r="AH23" s="13" t="s">
        <v>63</v>
      </c>
      <c r="AI23" s="13" t="s">
        <v>65</v>
      </c>
      <c r="AJ23" s="13" t="s">
        <v>64</v>
      </c>
      <c r="AK23" s="13" t="s">
        <v>61</v>
      </c>
      <c r="AL23" s="13" t="s">
        <v>63</v>
      </c>
      <c r="AM23" s="13" t="s">
        <v>63</v>
      </c>
      <c r="AN23" s="13" t="s">
        <v>65</v>
      </c>
      <c r="AO23" s="13" t="s">
        <v>60</v>
      </c>
      <c r="AP23" s="13" t="s">
        <v>60</v>
      </c>
      <c r="AQ23" s="13" t="s">
        <v>60</v>
      </c>
      <c r="AR23" s="13" t="s">
        <v>67</v>
      </c>
    </row>
    <row r="24" ht="15.75" customHeight="1">
      <c r="A24" s="10">
        <v>2.02390204E9</v>
      </c>
      <c r="B24" s="10" t="s">
        <v>102</v>
      </c>
      <c r="C24" s="10" t="s">
        <v>103</v>
      </c>
      <c r="D24" s="12">
        <f>IF(OR(UPPER(E24)="A",UPPER(E24)="B"),E4,0)+IF(UPPER(F24)=UPPER(F5),F4,0)+IF(G24="",0,IF(LEN(SUBSTITUTE(SUBSTITUTE(UPPER(G24),"C",""),"D",""))&gt;0,0,IF(AND(ISNUMBER(FIND("C",UPPER(G24))),ISNUMBER(FIND("D",UPPER(G24)))),G4,G4/2)))+IF(UPPER(H24)=UPPER(H5),H4,0)+IF(UPPER(I24)=UPPER(I5),I4,0)+IF(UPPER(J24)=UPPER(J5),J4,0)+IF(K24="",0,IF(LEN(SUBSTITUTE(SUBSTITUTE(UPPER(K24),"A",""),"C",""))&gt;0,0,IF(AND(ISNUMBER(FIND("A",UPPER(K24))),ISNUMBER(FIND("C",UPPER(K24)))),K4,K4/2)))+IF(UPPER(L24)=UPPER(L5),L4,0)+IF(UPPER(M24)=UPPER(M5),M4,0)+IF(UPPER(N24)=UPPER(N5),N4,0)+IF(O24="",0,IF(LEN(SUBSTITUTE(SUBSTITUTE(UPPER(O24),"A",""),"B",""))&gt;0,0,IF(AND(ISNUMBER(FIND("A",UPPER(O24))),ISNUMBER(FIND("B",UPPER(O24)))),O4,O4/2)))+IF(UPPER(P24)=UPPER(P5),P4,0)+IF(UPPER(Q24)=UPPER(Q5),Q4,0)+IF(UPPER(R24)=UPPER(R5),R4,0)+IF(UPPER(S24)=UPPER(S5),S4,0)+IF(UPPER(T24)=UPPER(T5),T4,0)+IF(U24="",0,IF(LEN(SUBSTITUTE(SUBSTITUTE(UPPER(U24),"A",""),"D",""))&gt;0,0,IF(AND(ISNUMBER(FIND("A",UPPER(U24))),ISNUMBER(FIND("D",UPPER(U24)))),U4,U4/2)))+IF(V24="",0,IF(LEN(SUBSTITUTE(SUBSTITUTE(UPPER(V24),"C",""),"D",""))&gt;0,0,IF(AND(ISNUMBER(FIND("C",UPPER(V24))),ISNUMBER(FIND("D",UPPER(V24)))),V4,V4/2)))+IF(UPPER(W24)=UPPER(W5),W4,0)+IF(UPPER(X24)=UPPER(X5),X4,0)+IF(UPPER(Y24)=UPPER(Y5),Y4,0)+IF(UPPER(Z24)=UPPER(Z5),Z4,0)+IF(AA24="",0,IF(LEN(SUBSTITUTE(SUBSTITUTE(UPPER(AA24),"C",""),"D",""))&gt;0,0,IF(AND(ISNUMBER(FIND("C",UPPER(AA24))),ISNUMBER(FIND("D",UPPER(AA24)))),AA4,AA4/2)))+IF(AB24="",0,IF(LEN(SUBSTITUTE(SUBSTITUTE(UPPER(AB24),"C",""),"D",""))&gt;0,0,IF(AND(ISNUMBER(FIND("C",UPPER(AB24))),ISNUMBER(FIND("D",UPPER(AB24)))),AB4,AB4/2)))+IF(UPPER(AC24)=UPPER(AC5),AC4,0)+IF(UPPER(AD24)=UPPER(AD5),AD4,0)+IF(UPPER(AE24)=UPPER(AE5),AE4,0)+IF(UPPER(AF24)=UPPER(AF5),AF4,0)+IF(UPPER(AG24)=UPPER(AG5),AG4,0)+IF(UPPER(AH24)=UPPER(AH5),AH4,0)+IF(AI24="",0,IF(LEN(SUBSTITUTE(SUBSTITUTE(UPPER(AI24),"A",""),"C",""))&gt;0,0,IF(AND(ISNUMBER(FIND("A",UPPER(AI24))),ISNUMBER(FIND("C",UPPER(AI24)))),AI4,AI4/2)))+IF(UPPER(AJ24)=UPPER(AJ5),AJ4,0)+IF(UPPER(AK24)=UPPER(AK5),AK4,0)+IF(UPPER(AL24)=UPPER(AL5),AL4,0)+IF(UPPER(AM24)=UPPER(AM5),AM4,0)+IF(AN24="",0,IF(LEN(SUBSTITUTE(SUBSTITUTE(UPPER(AN24),"A",""),"C",""))&gt;0,0,IF(AND(ISNUMBER(FIND("A",UPPER(AN24))),ISNUMBER(FIND("C",UPPER(AN24)))),AN4,AN4/2)))+IF(UPPER(AO24)=UPPER(AO5),AO4,0)+IF(UPPER(AP24)=UPPER(AP5),AP4,0)+IF(OR(UPPER(AQ24)="A",UPPER(AQ24)="B"),AQ4,0)+IF(AR24="",0,IF(LEN(SUBSTITUTE(SUBSTITUTE(UPPER(AR24),"A",""),"D",""))&gt;0,0,IF(AND(ISNUMBER(FIND("A",UPPER(AR24))),ISNUMBER(FIND("D",UPPER(AR24)))),AR4,AR4/2)))</f>
        <v>95</v>
      </c>
      <c r="E24" s="13" t="s">
        <v>61</v>
      </c>
      <c r="F24" s="13" t="s">
        <v>61</v>
      </c>
      <c r="G24" s="13" t="s">
        <v>62</v>
      </c>
      <c r="H24" s="13" t="s">
        <v>63</v>
      </c>
      <c r="I24" s="13" t="s">
        <v>60</v>
      </c>
      <c r="J24" s="13" t="s">
        <v>64</v>
      </c>
      <c r="K24" s="13" t="s">
        <v>65</v>
      </c>
      <c r="L24" s="13" t="s">
        <v>63</v>
      </c>
      <c r="M24" s="13" t="s">
        <v>61</v>
      </c>
      <c r="N24" s="13" t="s">
        <v>63</v>
      </c>
      <c r="O24" s="13" t="s">
        <v>66</v>
      </c>
      <c r="P24" s="13" t="s">
        <v>60</v>
      </c>
      <c r="Q24" s="13" t="s">
        <v>64</v>
      </c>
      <c r="R24" s="13" t="s">
        <v>61</v>
      </c>
      <c r="S24" s="13" t="s">
        <v>63</v>
      </c>
      <c r="T24" s="13" t="s">
        <v>64</v>
      </c>
      <c r="U24" s="13" t="s">
        <v>67</v>
      </c>
      <c r="V24" s="13" t="s">
        <v>66</v>
      </c>
      <c r="W24" s="13" t="s">
        <v>61</v>
      </c>
      <c r="X24" s="13" t="s">
        <v>63</v>
      </c>
      <c r="Y24" s="13" t="s">
        <v>60</v>
      </c>
      <c r="Z24" s="13" t="s">
        <v>63</v>
      </c>
      <c r="AA24" s="13" t="s">
        <v>74</v>
      </c>
      <c r="AB24" s="13" t="s">
        <v>62</v>
      </c>
      <c r="AC24" s="13" t="s">
        <v>60</v>
      </c>
      <c r="AD24" s="13" t="s">
        <v>64</v>
      </c>
      <c r="AE24" s="13" t="s">
        <v>60</v>
      </c>
      <c r="AF24" s="13" t="s">
        <v>61</v>
      </c>
      <c r="AG24" s="13" t="s">
        <v>64</v>
      </c>
      <c r="AH24" s="13" t="s">
        <v>63</v>
      </c>
      <c r="AI24" s="13" t="s">
        <v>65</v>
      </c>
      <c r="AJ24" s="13" t="s">
        <v>64</v>
      </c>
      <c r="AK24" s="13" t="s">
        <v>61</v>
      </c>
      <c r="AL24" s="13" t="s">
        <v>63</v>
      </c>
      <c r="AM24" s="13" t="s">
        <v>63</v>
      </c>
      <c r="AN24" s="13" t="s">
        <v>65</v>
      </c>
      <c r="AO24" s="13" t="s">
        <v>61</v>
      </c>
      <c r="AP24" s="13" t="s">
        <v>60</v>
      </c>
      <c r="AQ24" s="13" t="s">
        <v>60</v>
      </c>
      <c r="AR24" s="13" t="s">
        <v>67</v>
      </c>
    </row>
    <row r="25" ht="15.75" customHeight="1">
      <c r="A25" s="10">
        <v>2.023905496E9</v>
      </c>
      <c r="B25" s="10" t="s">
        <v>104</v>
      </c>
      <c r="C25" s="10" t="s">
        <v>105</v>
      </c>
      <c r="D25" s="12">
        <f>IF(OR(UPPER(E25)="A",UPPER(E25)="B"),E4,0)+IF(UPPER(F25)=UPPER(F5),F4,0)+IF(G25="",0,IF(LEN(SUBSTITUTE(SUBSTITUTE(UPPER(G25),"C",""),"D",""))&gt;0,0,IF(AND(ISNUMBER(FIND("C",UPPER(G25))),ISNUMBER(FIND("D",UPPER(G25)))),G4,G4/2)))+IF(UPPER(H25)=UPPER(H5),H4,0)+IF(UPPER(I25)=UPPER(I5),I4,0)+IF(UPPER(J25)=UPPER(J5),J4,0)+IF(K25="",0,IF(LEN(SUBSTITUTE(SUBSTITUTE(UPPER(K25),"A",""),"C",""))&gt;0,0,IF(AND(ISNUMBER(FIND("A",UPPER(K25))),ISNUMBER(FIND("C",UPPER(K25)))),K4,K4/2)))+IF(UPPER(L25)=UPPER(L5),L4,0)+IF(UPPER(M25)=UPPER(M5),M4,0)+IF(UPPER(N25)=UPPER(N5),N4,0)+IF(O25="",0,IF(LEN(SUBSTITUTE(SUBSTITUTE(UPPER(O25),"A",""),"B",""))&gt;0,0,IF(AND(ISNUMBER(FIND("A",UPPER(O25))),ISNUMBER(FIND("B",UPPER(O25)))),O4,O4/2)))+IF(UPPER(P25)=UPPER(P5),P4,0)+IF(UPPER(Q25)=UPPER(Q5),Q4,0)+IF(UPPER(R25)=UPPER(R5),R4,0)+IF(UPPER(S25)=UPPER(S5),S4,0)+IF(UPPER(T25)=UPPER(T5),T4,0)+IF(U25="",0,IF(LEN(SUBSTITUTE(SUBSTITUTE(UPPER(U25),"A",""),"D",""))&gt;0,0,IF(AND(ISNUMBER(FIND("A",UPPER(U25))),ISNUMBER(FIND("D",UPPER(U25)))),U4,U4/2)))+IF(V25="",0,IF(LEN(SUBSTITUTE(SUBSTITUTE(UPPER(V25),"C",""),"D",""))&gt;0,0,IF(AND(ISNUMBER(FIND("C",UPPER(V25))),ISNUMBER(FIND("D",UPPER(V25)))),V4,V4/2)))+IF(UPPER(W25)=UPPER(W5),W4,0)+IF(UPPER(X25)=UPPER(X5),X4,0)+IF(UPPER(Y25)=UPPER(Y5),Y4,0)+IF(UPPER(Z25)=UPPER(Z5),Z4,0)+IF(AA25="",0,IF(LEN(SUBSTITUTE(SUBSTITUTE(UPPER(AA25),"C",""),"D",""))&gt;0,0,IF(AND(ISNUMBER(FIND("C",UPPER(AA25))),ISNUMBER(FIND("D",UPPER(AA25)))),AA4,AA4/2)))+IF(AB25="",0,IF(LEN(SUBSTITUTE(SUBSTITUTE(UPPER(AB25),"C",""),"D",""))&gt;0,0,IF(AND(ISNUMBER(FIND("C",UPPER(AB25))),ISNUMBER(FIND("D",UPPER(AB25)))),AB4,AB4/2)))+IF(UPPER(AC25)=UPPER(AC5),AC4,0)+IF(UPPER(AD25)=UPPER(AD5),AD4,0)+IF(UPPER(AE25)=UPPER(AE5),AE4,0)+IF(UPPER(AF25)=UPPER(AF5),AF4,0)+IF(UPPER(AG25)=UPPER(AG5),AG4,0)+IF(UPPER(AH25)=UPPER(AH5),AH4,0)+IF(AI25="",0,IF(LEN(SUBSTITUTE(SUBSTITUTE(UPPER(AI25),"A",""),"C",""))&gt;0,0,IF(AND(ISNUMBER(FIND("A",UPPER(AI25))),ISNUMBER(FIND("C",UPPER(AI25)))),AI4,AI4/2)))+IF(UPPER(AJ25)=UPPER(AJ5),AJ4,0)+IF(UPPER(AK25)=UPPER(AK5),AK4,0)+IF(UPPER(AL25)=UPPER(AL5),AL4,0)+IF(UPPER(AM25)=UPPER(AM5),AM4,0)+IF(AN25="",0,IF(LEN(SUBSTITUTE(SUBSTITUTE(UPPER(AN25),"A",""),"C",""))&gt;0,0,IF(AND(ISNUMBER(FIND("A",UPPER(AN25))),ISNUMBER(FIND("C",UPPER(AN25)))),AN4,AN4/2)))+IF(UPPER(AO25)=UPPER(AO5),AO4,0)+IF(UPPER(AP25)=UPPER(AP5),AP4,0)+IF(OR(UPPER(AQ25)="A",UPPER(AQ25)="B"),AQ4,0)+IF(AR25="",0,IF(LEN(SUBSTITUTE(SUBSTITUTE(UPPER(AR25),"A",""),"D",""))&gt;0,0,IF(AND(ISNUMBER(FIND("A",UPPER(AR25))),ISNUMBER(FIND("D",UPPER(AR25)))),AR4,AR4/2)))</f>
        <v>85</v>
      </c>
      <c r="E25" s="13" t="s">
        <v>61</v>
      </c>
      <c r="F25" s="13" t="s">
        <v>61</v>
      </c>
      <c r="G25" s="13" t="s">
        <v>62</v>
      </c>
      <c r="H25" s="13" t="s">
        <v>63</v>
      </c>
      <c r="I25" s="13" t="s">
        <v>60</v>
      </c>
      <c r="J25" s="13" t="s">
        <v>64</v>
      </c>
      <c r="K25" s="13" t="s">
        <v>65</v>
      </c>
      <c r="L25" s="13" t="s">
        <v>63</v>
      </c>
      <c r="M25" s="13" t="s">
        <v>61</v>
      </c>
      <c r="N25" s="13" t="s">
        <v>63</v>
      </c>
      <c r="O25" s="13" t="s">
        <v>66</v>
      </c>
      <c r="P25" s="13" t="s">
        <v>60</v>
      </c>
      <c r="Q25" s="13" t="s">
        <v>64</v>
      </c>
      <c r="R25" s="13" t="s">
        <v>61</v>
      </c>
      <c r="S25" s="13" t="s">
        <v>61</v>
      </c>
      <c r="T25" s="13" t="s">
        <v>64</v>
      </c>
      <c r="U25" s="13" t="s">
        <v>65</v>
      </c>
      <c r="V25" s="13" t="s">
        <v>66</v>
      </c>
      <c r="W25" s="13" t="s">
        <v>61</v>
      </c>
      <c r="X25" s="13" t="s">
        <v>63</v>
      </c>
      <c r="Y25" s="13" t="s">
        <v>60</v>
      </c>
      <c r="Z25" s="13" t="s">
        <v>63</v>
      </c>
      <c r="AA25" s="13" t="s">
        <v>74</v>
      </c>
      <c r="AB25" s="13" t="s">
        <v>62</v>
      </c>
      <c r="AC25" s="13" t="s">
        <v>60</v>
      </c>
      <c r="AD25" s="13" t="s">
        <v>64</v>
      </c>
      <c r="AE25" s="13" t="s">
        <v>60</v>
      </c>
      <c r="AF25" s="13" t="s">
        <v>64</v>
      </c>
      <c r="AG25" s="13" t="s">
        <v>64</v>
      </c>
      <c r="AH25" s="13" t="s">
        <v>63</v>
      </c>
      <c r="AI25" s="13" t="s">
        <v>66</v>
      </c>
      <c r="AJ25" s="13" t="s">
        <v>64</v>
      </c>
      <c r="AK25" s="13" t="s">
        <v>61</v>
      </c>
      <c r="AL25" s="13" t="s">
        <v>63</v>
      </c>
      <c r="AM25" s="13" t="s">
        <v>63</v>
      </c>
      <c r="AN25" s="13" t="s">
        <v>65</v>
      </c>
      <c r="AO25" s="13" t="s">
        <v>61</v>
      </c>
      <c r="AP25" s="13" t="s">
        <v>60</v>
      </c>
      <c r="AQ25" s="13" t="s">
        <v>61</v>
      </c>
      <c r="AR25" s="13" t="s">
        <v>67</v>
      </c>
    </row>
    <row r="26" ht="15.75" customHeight="1">
      <c r="A26" s="10">
        <v>2.023905335E9</v>
      </c>
      <c r="B26" s="10" t="s">
        <v>106</v>
      </c>
      <c r="C26" s="10" t="s">
        <v>107</v>
      </c>
      <c r="D26" s="12">
        <f>IF(OR(UPPER(E26)="A",UPPER(E26)="B"),E4,0)+IF(UPPER(F26)=UPPER(F5),F4,0)+IF(G26="",0,IF(LEN(SUBSTITUTE(SUBSTITUTE(UPPER(G26),"C",""),"D",""))&gt;0,0,IF(AND(ISNUMBER(FIND("C",UPPER(G26))),ISNUMBER(FIND("D",UPPER(G26)))),G4,G4/2)))+IF(UPPER(H26)=UPPER(H5),H4,0)+IF(UPPER(I26)=UPPER(I5),I4,0)+IF(UPPER(J26)=UPPER(J5),J4,0)+IF(K26="",0,IF(LEN(SUBSTITUTE(SUBSTITUTE(UPPER(K26),"A",""),"C",""))&gt;0,0,IF(AND(ISNUMBER(FIND("A",UPPER(K26))),ISNUMBER(FIND("C",UPPER(K26)))),K4,K4/2)))+IF(UPPER(L26)=UPPER(L5),L4,0)+IF(UPPER(M26)=UPPER(M5),M4,0)+IF(UPPER(N26)=UPPER(N5),N4,0)+IF(O26="",0,IF(LEN(SUBSTITUTE(SUBSTITUTE(UPPER(O26),"A",""),"B",""))&gt;0,0,IF(AND(ISNUMBER(FIND("A",UPPER(O26))),ISNUMBER(FIND("B",UPPER(O26)))),O4,O4/2)))+IF(UPPER(P26)=UPPER(P5),P4,0)+IF(UPPER(Q26)=UPPER(Q5),Q4,0)+IF(UPPER(R26)=UPPER(R5),R4,0)+IF(UPPER(S26)=UPPER(S5),S4,0)+IF(UPPER(T26)=UPPER(T5),T4,0)+IF(U26="",0,IF(LEN(SUBSTITUTE(SUBSTITUTE(UPPER(U26),"A",""),"D",""))&gt;0,0,IF(AND(ISNUMBER(FIND("A",UPPER(U26))),ISNUMBER(FIND("D",UPPER(U26)))),U4,U4/2)))+IF(V26="",0,IF(LEN(SUBSTITUTE(SUBSTITUTE(UPPER(V26),"C",""),"D",""))&gt;0,0,IF(AND(ISNUMBER(FIND("C",UPPER(V26))),ISNUMBER(FIND("D",UPPER(V26)))),V4,V4/2)))+IF(UPPER(W26)=UPPER(W5),W4,0)+IF(UPPER(X26)=UPPER(X5),X4,0)+IF(UPPER(Y26)=UPPER(Y5),Y4,0)+IF(UPPER(Z26)=UPPER(Z5),Z4,0)+IF(AA26="",0,IF(LEN(SUBSTITUTE(SUBSTITUTE(UPPER(AA26),"C",""),"D",""))&gt;0,0,IF(AND(ISNUMBER(FIND("C",UPPER(AA26))),ISNUMBER(FIND("D",UPPER(AA26)))),AA4,AA4/2)))+IF(AB26="",0,IF(LEN(SUBSTITUTE(SUBSTITUTE(UPPER(AB26),"C",""),"D",""))&gt;0,0,IF(AND(ISNUMBER(FIND("C",UPPER(AB26))),ISNUMBER(FIND("D",UPPER(AB26)))),AB4,AB4/2)))+IF(UPPER(AC26)=UPPER(AC5),AC4,0)+IF(UPPER(AD26)=UPPER(AD5),AD4,0)+IF(UPPER(AE26)=UPPER(AE5),AE4,0)+IF(UPPER(AF26)=UPPER(AF5),AF4,0)+IF(UPPER(AG26)=UPPER(AG5),AG4,0)+IF(UPPER(AH26)=UPPER(AH5),AH4,0)+IF(AI26="",0,IF(LEN(SUBSTITUTE(SUBSTITUTE(UPPER(AI26),"A",""),"C",""))&gt;0,0,IF(AND(ISNUMBER(FIND("A",UPPER(AI26))),ISNUMBER(FIND("C",UPPER(AI26)))),AI4,AI4/2)))+IF(UPPER(AJ26)=UPPER(AJ5),AJ4,0)+IF(UPPER(AK26)=UPPER(AK5),AK4,0)+IF(UPPER(AL26)=UPPER(AL5),AL4,0)+IF(UPPER(AM26)=UPPER(AM5),AM4,0)+IF(AN26="",0,IF(LEN(SUBSTITUTE(SUBSTITUTE(UPPER(AN26),"A",""),"C",""))&gt;0,0,IF(AND(ISNUMBER(FIND("A",UPPER(AN26))),ISNUMBER(FIND("C",UPPER(AN26)))),AN4,AN4/2)))+IF(UPPER(AO26)=UPPER(AO5),AO4,0)+IF(UPPER(AP26)=UPPER(AP5),AP4,0)+IF(OR(UPPER(AQ26)="A",UPPER(AQ26)="B"),AQ4,0)+IF(AR26="",0,IF(LEN(SUBSTITUTE(SUBSTITUTE(UPPER(AR26),"A",""),"D",""))&gt;0,0,IF(AND(ISNUMBER(FIND("A",UPPER(AR26))),ISNUMBER(FIND("D",UPPER(AR26)))),AR4,AR4/2)))</f>
        <v>92.5</v>
      </c>
      <c r="E26" s="13" t="s">
        <v>60</v>
      </c>
      <c r="F26" s="13" t="s">
        <v>61</v>
      </c>
      <c r="G26" s="13" t="s">
        <v>62</v>
      </c>
      <c r="H26" s="13" t="s">
        <v>63</v>
      </c>
      <c r="I26" s="13" t="s">
        <v>60</v>
      </c>
      <c r="J26" s="13" t="s">
        <v>64</v>
      </c>
      <c r="K26" s="13" t="s">
        <v>65</v>
      </c>
      <c r="L26" s="13" t="s">
        <v>63</v>
      </c>
      <c r="M26" s="13" t="s">
        <v>61</v>
      </c>
      <c r="N26" s="13" t="s">
        <v>63</v>
      </c>
      <c r="O26" s="13" t="s">
        <v>66</v>
      </c>
      <c r="P26" s="13" t="s">
        <v>60</v>
      </c>
      <c r="Q26" s="13" t="s">
        <v>64</v>
      </c>
      <c r="R26" s="13" t="s">
        <v>61</v>
      </c>
      <c r="S26" s="13" t="s">
        <v>63</v>
      </c>
      <c r="T26" s="13" t="s">
        <v>64</v>
      </c>
      <c r="U26" s="13" t="s">
        <v>67</v>
      </c>
      <c r="V26" s="13" t="s">
        <v>62</v>
      </c>
      <c r="W26" s="13" t="s">
        <v>61</v>
      </c>
      <c r="X26" s="13" t="s">
        <v>63</v>
      </c>
      <c r="Y26" s="13" t="s">
        <v>61</v>
      </c>
      <c r="Z26" s="13" t="s">
        <v>63</v>
      </c>
      <c r="AA26" s="13" t="s">
        <v>62</v>
      </c>
      <c r="AB26" s="13" t="s">
        <v>62</v>
      </c>
      <c r="AC26" s="13" t="s">
        <v>60</v>
      </c>
      <c r="AD26" s="13" t="s">
        <v>60</v>
      </c>
      <c r="AE26" s="13" t="s">
        <v>60</v>
      </c>
      <c r="AF26" s="13" t="s">
        <v>61</v>
      </c>
      <c r="AG26" s="13" t="s">
        <v>64</v>
      </c>
      <c r="AH26" s="13" t="s">
        <v>63</v>
      </c>
      <c r="AI26" s="13" t="s">
        <v>65</v>
      </c>
      <c r="AJ26" s="13" t="s">
        <v>64</v>
      </c>
      <c r="AK26" s="13" t="s">
        <v>61</v>
      </c>
      <c r="AL26" s="13" t="s">
        <v>63</v>
      </c>
      <c r="AM26" s="13" t="s">
        <v>63</v>
      </c>
      <c r="AN26" s="13" t="s">
        <v>65</v>
      </c>
      <c r="AO26" s="13" t="s">
        <v>61</v>
      </c>
      <c r="AP26" s="13" t="s">
        <v>60</v>
      </c>
      <c r="AQ26" s="13" t="s">
        <v>63</v>
      </c>
      <c r="AR26" s="13" t="s">
        <v>67</v>
      </c>
    </row>
    <row r="27" ht="15.75" customHeight="1">
      <c r="A27" s="10">
        <v>2.023902038E9</v>
      </c>
      <c r="B27" s="10" t="s">
        <v>108</v>
      </c>
      <c r="C27" s="10" t="s">
        <v>109</v>
      </c>
      <c r="D27" s="12">
        <f>IF(OR(UPPER(E27)="A",UPPER(E27)="B"),E4,0)+IF(UPPER(F27)=UPPER(F5),F4,0)+IF(G27="",0,IF(LEN(SUBSTITUTE(SUBSTITUTE(UPPER(G27),"C",""),"D",""))&gt;0,0,IF(AND(ISNUMBER(FIND("C",UPPER(G27))),ISNUMBER(FIND("D",UPPER(G27)))),G4,G4/2)))+IF(UPPER(H27)=UPPER(H5),H4,0)+IF(UPPER(I27)=UPPER(I5),I4,0)+IF(UPPER(J27)=UPPER(J5),J4,0)+IF(K27="",0,IF(LEN(SUBSTITUTE(SUBSTITUTE(UPPER(K27),"A",""),"C",""))&gt;0,0,IF(AND(ISNUMBER(FIND("A",UPPER(K27))),ISNUMBER(FIND("C",UPPER(K27)))),K4,K4/2)))+IF(UPPER(L27)=UPPER(L5),L4,0)+IF(UPPER(M27)=UPPER(M5),M4,0)+IF(UPPER(N27)=UPPER(N5),N4,0)+IF(O27="",0,IF(LEN(SUBSTITUTE(SUBSTITUTE(UPPER(O27),"A",""),"B",""))&gt;0,0,IF(AND(ISNUMBER(FIND("A",UPPER(O27))),ISNUMBER(FIND("B",UPPER(O27)))),O4,O4/2)))+IF(UPPER(P27)=UPPER(P5),P4,0)+IF(UPPER(Q27)=UPPER(Q5),Q4,0)+IF(UPPER(R27)=UPPER(R5),R4,0)+IF(UPPER(S27)=UPPER(S5),S4,0)+IF(UPPER(T27)=UPPER(T5),T4,0)+IF(U27="",0,IF(LEN(SUBSTITUTE(SUBSTITUTE(UPPER(U27),"A",""),"D",""))&gt;0,0,IF(AND(ISNUMBER(FIND("A",UPPER(U27))),ISNUMBER(FIND("D",UPPER(U27)))),U4,U4/2)))+IF(V27="",0,IF(LEN(SUBSTITUTE(SUBSTITUTE(UPPER(V27),"C",""),"D",""))&gt;0,0,IF(AND(ISNUMBER(FIND("C",UPPER(V27))),ISNUMBER(FIND("D",UPPER(V27)))),V4,V4/2)))+IF(UPPER(W27)=UPPER(W5),W4,0)+IF(UPPER(X27)=UPPER(X5),X4,0)+IF(UPPER(Y27)=UPPER(Y5),Y4,0)+IF(UPPER(Z27)=UPPER(Z5),Z4,0)+IF(AA27="",0,IF(LEN(SUBSTITUTE(SUBSTITUTE(UPPER(AA27),"C",""),"D",""))&gt;0,0,IF(AND(ISNUMBER(FIND("C",UPPER(AA27))),ISNUMBER(FIND("D",UPPER(AA27)))),AA4,AA4/2)))+IF(AB27="",0,IF(LEN(SUBSTITUTE(SUBSTITUTE(UPPER(AB27),"C",""),"D",""))&gt;0,0,IF(AND(ISNUMBER(FIND("C",UPPER(AB27))),ISNUMBER(FIND("D",UPPER(AB27)))),AB4,AB4/2)))+IF(UPPER(AC27)=UPPER(AC5),AC4,0)+IF(UPPER(AD27)=UPPER(AD5),AD4,0)+IF(UPPER(AE27)=UPPER(AE5),AE4,0)+IF(UPPER(AF27)=UPPER(AF5),AF4,0)+IF(UPPER(AG27)=UPPER(AG5),AG4,0)+IF(UPPER(AH27)=UPPER(AH5),AH4,0)+IF(AI27="",0,IF(LEN(SUBSTITUTE(SUBSTITUTE(UPPER(AI27),"A",""),"C",""))&gt;0,0,IF(AND(ISNUMBER(FIND("A",UPPER(AI27))),ISNUMBER(FIND("C",UPPER(AI27)))),AI4,AI4/2)))+IF(UPPER(AJ27)=UPPER(AJ5),AJ4,0)+IF(UPPER(AK27)=UPPER(AK5),AK4,0)+IF(UPPER(AL27)=UPPER(AL5),AL4,0)+IF(UPPER(AM27)=UPPER(AM5),AM4,0)+IF(AN27="",0,IF(LEN(SUBSTITUTE(SUBSTITUTE(UPPER(AN27),"A",""),"C",""))&gt;0,0,IF(AND(ISNUMBER(FIND("A",UPPER(AN27))),ISNUMBER(FIND("C",UPPER(AN27)))),AN4,AN4/2)))+IF(UPPER(AO27)=UPPER(AO5),AO4,0)+IF(UPPER(AP27)=UPPER(AP5),AP4,0)+IF(OR(UPPER(AQ27)="A",UPPER(AQ27)="B"),AQ4,0)+IF(AR27="",0,IF(LEN(SUBSTITUTE(SUBSTITUTE(UPPER(AR27),"A",""),"D",""))&gt;0,0,IF(AND(ISNUMBER(FIND("A",UPPER(AR27))),ISNUMBER(FIND("D",UPPER(AR27)))),AR4,AR4/2)))</f>
        <v>83.75</v>
      </c>
      <c r="E27" s="13" t="s">
        <v>61</v>
      </c>
      <c r="F27" s="13" t="s">
        <v>61</v>
      </c>
      <c r="G27" s="13" t="s">
        <v>63</v>
      </c>
      <c r="H27" s="13" t="s">
        <v>63</v>
      </c>
      <c r="I27" s="13" t="s">
        <v>60</v>
      </c>
      <c r="J27" s="13" t="s">
        <v>64</v>
      </c>
      <c r="K27" s="13" t="s">
        <v>65</v>
      </c>
      <c r="L27" s="13" t="s">
        <v>63</v>
      </c>
      <c r="M27" s="13" t="s">
        <v>61</v>
      </c>
      <c r="N27" s="13" t="s">
        <v>64</v>
      </c>
      <c r="O27" s="13" t="s">
        <v>66</v>
      </c>
      <c r="P27" s="13" t="s">
        <v>60</v>
      </c>
      <c r="Q27" s="13" t="s">
        <v>64</v>
      </c>
      <c r="R27" s="13" t="s">
        <v>61</v>
      </c>
      <c r="S27" s="13" t="s">
        <v>60</v>
      </c>
      <c r="T27" s="13" t="s">
        <v>64</v>
      </c>
      <c r="U27" s="13" t="s">
        <v>67</v>
      </c>
      <c r="V27" s="13" t="s">
        <v>62</v>
      </c>
      <c r="W27" s="13" t="s">
        <v>61</v>
      </c>
      <c r="X27" s="13" t="s">
        <v>63</v>
      </c>
      <c r="Y27" s="13" t="s">
        <v>61</v>
      </c>
      <c r="Z27" s="13" t="s">
        <v>60</v>
      </c>
      <c r="AA27" s="13" t="s">
        <v>74</v>
      </c>
      <c r="AB27" s="13" t="s">
        <v>62</v>
      </c>
      <c r="AC27" s="13" t="s">
        <v>64</v>
      </c>
      <c r="AD27" s="13" t="s">
        <v>64</v>
      </c>
      <c r="AE27" s="13" t="s">
        <v>60</v>
      </c>
      <c r="AF27" s="13" t="s">
        <v>61</v>
      </c>
      <c r="AG27" s="13" t="s">
        <v>64</v>
      </c>
      <c r="AH27" s="13" t="s">
        <v>63</v>
      </c>
      <c r="AI27" s="13" t="s">
        <v>65</v>
      </c>
      <c r="AJ27" s="13" t="s">
        <v>64</v>
      </c>
      <c r="AK27" s="13" t="s">
        <v>61</v>
      </c>
      <c r="AL27" s="13" t="s">
        <v>63</v>
      </c>
      <c r="AM27" s="13" t="s">
        <v>63</v>
      </c>
      <c r="AN27" s="13" t="s">
        <v>65</v>
      </c>
      <c r="AO27" s="13" t="s">
        <v>61</v>
      </c>
      <c r="AP27" s="13" t="s">
        <v>60</v>
      </c>
      <c r="AQ27" s="13" t="s">
        <v>60</v>
      </c>
      <c r="AR27" s="13" t="s">
        <v>67</v>
      </c>
    </row>
    <row r="28" ht="15.75" customHeight="1">
      <c r="A28" s="10">
        <v>2.023905932E9</v>
      </c>
      <c r="B28" s="10" t="s">
        <v>110</v>
      </c>
      <c r="C28" s="10" t="s">
        <v>111</v>
      </c>
      <c r="D28" s="12">
        <f>IF(OR(UPPER(E28)="A",UPPER(E28)="B"),E4,0)+IF(UPPER(F28)=UPPER(F5),F4,0)+IF(G28="",0,IF(LEN(SUBSTITUTE(SUBSTITUTE(UPPER(G28),"C",""),"D",""))&gt;0,0,IF(AND(ISNUMBER(FIND("C",UPPER(G28))),ISNUMBER(FIND("D",UPPER(G28)))),G4,G4/2)))+IF(UPPER(H28)=UPPER(H5),H4,0)+IF(UPPER(I28)=UPPER(I5),I4,0)+IF(UPPER(J28)=UPPER(J5),J4,0)+IF(K28="",0,IF(LEN(SUBSTITUTE(SUBSTITUTE(UPPER(K28),"A",""),"C",""))&gt;0,0,IF(AND(ISNUMBER(FIND("A",UPPER(K28))),ISNUMBER(FIND("C",UPPER(K28)))),K4,K4/2)))+IF(UPPER(L28)=UPPER(L5),L4,0)+IF(UPPER(M28)=UPPER(M5),M4,0)+IF(UPPER(N28)=UPPER(N5),N4,0)+IF(O28="",0,IF(LEN(SUBSTITUTE(SUBSTITUTE(UPPER(O28),"A",""),"B",""))&gt;0,0,IF(AND(ISNUMBER(FIND("A",UPPER(O28))),ISNUMBER(FIND("B",UPPER(O28)))),O4,O4/2)))+IF(UPPER(P28)=UPPER(P5),P4,0)+IF(UPPER(Q28)=UPPER(Q5),Q4,0)+IF(UPPER(R28)=UPPER(R5),R4,0)+IF(UPPER(S28)=UPPER(S5),S4,0)+IF(UPPER(T28)=UPPER(T5),T4,0)+IF(U28="",0,IF(LEN(SUBSTITUTE(SUBSTITUTE(UPPER(U28),"A",""),"D",""))&gt;0,0,IF(AND(ISNUMBER(FIND("A",UPPER(U28))),ISNUMBER(FIND("D",UPPER(U28)))),U4,U4/2)))+IF(V28="",0,IF(LEN(SUBSTITUTE(SUBSTITUTE(UPPER(V28),"C",""),"D",""))&gt;0,0,IF(AND(ISNUMBER(FIND("C",UPPER(V28))),ISNUMBER(FIND("D",UPPER(V28)))),V4,V4/2)))+IF(UPPER(W28)=UPPER(W5),W4,0)+IF(UPPER(X28)=UPPER(X5),X4,0)+IF(UPPER(Y28)=UPPER(Y5),Y4,0)+IF(UPPER(Z28)=UPPER(Z5),Z4,0)+IF(AA28="",0,IF(LEN(SUBSTITUTE(SUBSTITUTE(UPPER(AA28),"C",""),"D",""))&gt;0,0,IF(AND(ISNUMBER(FIND("C",UPPER(AA28))),ISNUMBER(FIND("D",UPPER(AA28)))),AA4,AA4/2)))+IF(AB28="",0,IF(LEN(SUBSTITUTE(SUBSTITUTE(UPPER(AB28),"C",""),"D",""))&gt;0,0,IF(AND(ISNUMBER(FIND("C",UPPER(AB28))),ISNUMBER(FIND("D",UPPER(AB28)))),AB4,AB4/2)))+IF(UPPER(AC28)=UPPER(AC5),AC4,0)+IF(UPPER(AD28)=UPPER(AD5),AD4,0)+IF(UPPER(AE28)=UPPER(AE5),AE4,0)+IF(UPPER(AF28)=UPPER(AF5),AF4,0)+IF(UPPER(AG28)=UPPER(AG5),AG4,0)+IF(UPPER(AH28)=UPPER(AH5),AH4,0)+IF(AI28="",0,IF(LEN(SUBSTITUTE(SUBSTITUTE(UPPER(AI28),"A",""),"C",""))&gt;0,0,IF(AND(ISNUMBER(FIND("A",UPPER(AI28))),ISNUMBER(FIND("C",UPPER(AI28)))),AI4,AI4/2)))+IF(UPPER(AJ28)=UPPER(AJ5),AJ4,0)+IF(UPPER(AK28)=UPPER(AK5),AK4,0)+IF(UPPER(AL28)=UPPER(AL5),AL4,0)+IF(UPPER(AM28)=UPPER(AM5),AM4,0)+IF(AN28="",0,IF(LEN(SUBSTITUTE(SUBSTITUTE(UPPER(AN28),"A",""),"C",""))&gt;0,0,IF(AND(ISNUMBER(FIND("A",UPPER(AN28))),ISNUMBER(FIND("C",UPPER(AN28)))),AN4,AN4/2)))+IF(UPPER(AO28)=UPPER(AO5),AO4,0)+IF(UPPER(AP28)=UPPER(AP5),AP4,0)+IF(OR(UPPER(AQ28)="A",UPPER(AQ28)="B"),AQ4,0)+IF(AR28="",0,IF(LEN(SUBSTITUTE(SUBSTITUTE(UPPER(AR28),"A",""),"D",""))&gt;0,0,IF(AND(ISNUMBER(FIND("A",UPPER(AR28))),ISNUMBER(FIND("D",UPPER(AR28)))),AR4,AR4/2)))</f>
        <v>95</v>
      </c>
      <c r="E28" s="13" t="s">
        <v>60</v>
      </c>
      <c r="F28" s="13" t="s">
        <v>61</v>
      </c>
      <c r="G28" s="13" t="s">
        <v>62</v>
      </c>
      <c r="H28" s="13" t="s">
        <v>63</v>
      </c>
      <c r="I28" s="13" t="s">
        <v>60</v>
      </c>
      <c r="J28" s="13" t="s">
        <v>64</v>
      </c>
      <c r="K28" s="13" t="s">
        <v>65</v>
      </c>
      <c r="L28" s="13" t="s">
        <v>63</v>
      </c>
      <c r="M28" s="13" t="s">
        <v>61</v>
      </c>
      <c r="N28" s="13" t="s">
        <v>63</v>
      </c>
      <c r="O28" s="13" t="s">
        <v>66</v>
      </c>
      <c r="P28" s="13" t="s">
        <v>60</v>
      </c>
      <c r="Q28" s="13" t="s">
        <v>64</v>
      </c>
      <c r="R28" s="13" t="s">
        <v>61</v>
      </c>
      <c r="S28" s="13" t="s">
        <v>63</v>
      </c>
      <c r="T28" s="13" t="s">
        <v>64</v>
      </c>
      <c r="U28" s="13" t="s">
        <v>67</v>
      </c>
      <c r="V28" s="13" t="s">
        <v>62</v>
      </c>
      <c r="W28" s="13" t="s">
        <v>61</v>
      </c>
      <c r="X28" s="13" t="s">
        <v>63</v>
      </c>
      <c r="Y28" s="13" t="s">
        <v>63</v>
      </c>
      <c r="Z28" s="13" t="s">
        <v>63</v>
      </c>
      <c r="AA28" s="13" t="s">
        <v>62</v>
      </c>
      <c r="AB28" s="13" t="s">
        <v>62</v>
      </c>
      <c r="AC28" s="13" t="s">
        <v>61</v>
      </c>
      <c r="AD28" s="13" t="s">
        <v>64</v>
      </c>
      <c r="AE28" s="13" t="s">
        <v>60</v>
      </c>
      <c r="AF28" s="13" t="s">
        <v>61</v>
      </c>
      <c r="AG28" s="13" t="s">
        <v>64</v>
      </c>
      <c r="AH28" s="13" t="s">
        <v>63</v>
      </c>
      <c r="AI28" s="13" t="s">
        <v>65</v>
      </c>
      <c r="AJ28" s="13" t="s">
        <v>64</v>
      </c>
      <c r="AK28" s="13" t="s">
        <v>61</v>
      </c>
      <c r="AL28" s="13" t="s">
        <v>63</v>
      </c>
      <c r="AM28" s="13" t="s">
        <v>63</v>
      </c>
      <c r="AN28" s="13" t="s">
        <v>65</v>
      </c>
      <c r="AO28" s="13" t="s">
        <v>61</v>
      </c>
      <c r="AP28" s="13" t="s">
        <v>60</v>
      </c>
      <c r="AQ28" s="13" t="s">
        <v>60</v>
      </c>
      <c r="AR28" s="13" t="s">
        <v>67</v>
      </c>
    </row>
    <row r="29" ht="15.75" customHeight="1">
      <c r="A29" s="10">
        <v>2.023905934E9</v>
      </c>
      <c r="B29" s="10" t="s">
        <v>110</v>
      </c>
      <c r="C29" s="10" t="s">
        <v>112</v>
      </c>
      <c r="D29" s="12">
        <f>IF(OR(UPPER(E29)="A",UPPER(E29)="B"),E4,0)+IF(UPPER(F29)=UPPER(F5),F4,0)+IF(G29="",0,IF(LEN(SUBSTITUTE(SUBSTITUTE(UPPER(G29),"C",""),"D",""))&gt;0,0,IF(AND(ISNUMBER(FIND("C",UPPER(G29))),ISNUMBER(FIND("D",UPPER(G29)))),G4,G4/2)))+IF(UPPER(H29)=UPPER(H5),H4,0)+IF(UPPER(I29)=UPPER(I5),I4,0)+IF(UPPER(J29)=UPPER(J5),J4,0)+IF(K29="",0,IF(LEN(SUBSTITUTE(SUBSTITUTE(UPPER(K29),"A",""),"C",""))&gt;0,0,IF(AND(ISNUMBER(FIND("A",UPPER(K29))),ISNUMBER(FIND("C",UPPER(K29)))),K4,K4/2)))+IF(UPPER(L29)=UPPER(L5),L4,0)+IF(UPPER(M29)=UPPER(M5),M4,0)+IF(UPPER(N29)=UPPER(N5),N4,0)+IF(O29="",0,IF(LEN(SUBSTITUTE(SUBSTITUTE(UPPER(O29),"A",""),"B",""))&gt;0,0,IF(AND(ISNUMBER(FIND("A",UPPER(O29))),ISNUMBER(FIND("B",UPPER(O29)))),O4,O4/2)))+IF(UPPER(P29)=UPPER(P5),P4,0)+IF(UPPER(Q29)=UPPER(Q5),Q4,0)+IF(UPPER(R29)=UPPER(R5),R4,0)+IF(UPPER(S29)=UPPER(S5),S4,0)+IF(UPPER(T29)=UPPER(T5),T4,0)+IF(U29="",0,IF(LEN(SUBSTITUTE(SUBSTITUTE(UPPER(U29),"A",""),"D",""))&gt;0,0,IF(AND(ISNUMBER(FIND("A",UPPER(U29))),ISNUMBER(FIND("D",UPPER(U29)))),U4,U4/2)))+IF(V29="",0,IF(LEN(SUBSTITUTE(SUBSTITUTE(UPPER(V29),"C",""),"D",""))&gt;0,0,IF(AND(ISNUMBER(FIND("C",UPPER(V29))),ISNUMBER(FIND("D",UPPER(V29)))),V4,V4/2)))+IF(UPPER(W29)=UPPER(W5),W4,0)+IF(UPPER(X29)=UPPER(X5),X4,0)+IF(UPPER(Y29)=UPPER(Y5),Y4,0)+IF(UPPER(Z29)=UPPER(Z5),Z4,0)+IF(AA29="",0,IF(LEN(SUBSTITUTE(SUBSTITUTE(UPPER(AA29),"C",""),"D",""))&gt;0,0,IF(AND(ISNUMBER(FIND("C",UPPER(AA29))),ISNUMBER(FIND("D",UPPER(AA29)))),AA4,AA4/2)))+IF(AB29="",0,IF(LEN(SUBSTITUTE(SUBSTITUTE(UPPER(AB29),"C",""),"D",""))&gt;0,0,IF(AND(ISNUMBER(FIND("C",UPPER(AB29))),ISNUMBER(FIND("D",UPPER(AB29)))),AB4,AB4/2)))+IF(UPPER(AC29)=UPPER(AC5),AC4,0)+IF(UPPER(AD29)=UPPER(AD5),AD4,0)+IF(UPPER(AE29)=UPPER(AE5),AE4,0)+IF(UPPER(AF29)=UPPER(AF5),AF4,0)+IF(UPPER(AG29)=UPPER(AG5),AG4,0)+IF(UPPER(AH29)=UPPER(AH5),AH4,0)+IF(AI29="",0,IF(LEN(SUBSTITUTE(SUBSTITUTE(UPPER(AI29),"A",""),"C",""))&gt;0,0,IF(AND(ISNUMBER(FIND("A",UPPER(AI29))),ISNUMBER(FIND("C",UPPER(AI29)))),AI4,AI4/2)))+IF(UPPER(AJ29)=UPPER(AJ5),AJ4,0)+IF(UPPER(AK29)=UPPER(AK5),AK4,0)+IF(UPPER(AL29)=UPPER(AL5),AL4,0)+IF(UPPER(AM29)=UPPER(AM5),AM4,0)+IF(AN29="",0,IF(LEN(SUBSTITUTE(SUBSTITUTE(UPPER(AN29),"A",""),"C",""))&gt;0,0,IF(AND(ISNUMBER(FIND("A",UPPER(AN29))),ISNUMBER(FIND("C",UPPER(AN29)))),AN4,AN4/2)))+IF(UPPER(AO29)=UPPER(AO5),AO4,0)+IF(UPPER(AP29)=UPPER(AP5),AP4,0)+IF(OR(UPPER(AQ29)="A",UPPER(AQ29)="B"),AQ4,0)+IF(AR29="",0,IF(LEN(SUBSTITUTE(SUBSTITUTE(UPPER(AR29),"A",""),"D",""))&gt;0,0,IF(AND(ISNUMBER(FIND("A",UPPER(AR29))),ISNUMBER(FIND("D",UPPER(AR29)))),AR4,AR4/2)))</f>
        <v>92.5</v>
      </c>
      <c r="E29" s="13" t="s">
        <v>61</v>
      </c>
      <c r="F29" s="13" t="s">
        <v>61</v>
      </c>
      <c r="G29" s="13" t="s">
        <v>113</v>
      </c>
      <c r="H29" s="13" t="s">
        <v>63</v>
      </c>
      <c r="I29" s="13" t="s">
        <v>60</v>
      </c>
      <c r="J29" s="13" t="s">
        <v>64</v>
      </c>
      <c r="K29" s="13" t="s">
        <v>65</v>
      </c>
      <c r="L29" s="13" t="s">
        <v>63</v>
      </c>
      <c r="M29" s="13" t="s">
        <v>61</v>
      </c>
      <c r="N29" s="13" t="s">
        <v>64</v>
      </c>
      <c r="O29" s="13" t="s">
        <v>66</v>
      </c>
      <c r="P29" s="13" t="s">
        <v>60</v>
      </c>
      <c r="Q29" s="13" t="s">
        <v>64</v>
      </c>
      <c r="R29" s="13" t="s">
        <v>61</v>
      </c>
      <c r="S29" s="13" t="s">
        <v>61</v>
      </c>
      <c r="T29" s="13" t="s">
        <v>64</v>
      </c>
      <c r="U29" s="13" t="s">
        <v>67</v>
      </c>
      <c r="V29" s="13" t="s">
        <v>62</v>
      </c>
      <c r="W29" s="13" t="s">
        <v>61</v>
      </c>
      <c r="X29" s="13" t="s">
        <v>63</v>
      </c>
      <c r="Y29" s="13" t="s">
        <v>60</v>
      </c>
      <c r="Z29" s="13" t="s">
        <v>63</v>
      </c>
      <c r="AA29" s="13" t="s">
        <v>62</v>
      </c>
      <c r="AB29" s="13" t="s">
        <v>62</v>
      </c>
      <c r="AC29" s="13" t="s">
        <v>60</v>
      </c>
      <c r="AD29" s="13" t="s">
        <v>64</v>
      </c>
      <c r="AE29" s="13" t="s">
        <v>60</v>
      </c>
      <c r="AF29" s="13" t="s">
        <v>61</v>
      </c>
      <c r="AG29" s="13" t="s">
        <v>64</v>
      </c>
      <c r="AH29" s="13" t="s">
        <v>63</v>
      </c>
      <c r="AI29" s="13" t="s">
        <v>65</v>
      </c>
      <c r="AJ29" s="13" t="s">
        <v>64</v>
      </c>
      <c r="AK29" s="13" t="s">
        <v>61</v>
      </c>
      <c r="AL29" s="13" t="s">
        <v>63</v>
      </c>
      <c r="AM29" s="13" t="s">
        <v>63</v>
      </c>
      <c r="AN29" s="13" t="s">
        <v>73</v>
      </c>
      <c r="AO29" s="13" t="s">
        <v>61</v>
      </c>
      <c r="AP29" s="13" t="s">
        <v>60</v>
      </c>
      <c r="AQ29" s="13" t="s">
        <v>60</v>
      </c>
      <c r="AR29" s="13" t="s">
        <v>67</v>
      </c>
    </row>
    <row r="30" ht="15.75" customHeight="1">
      <c r="A30" s="10">
        <v>2.023903114E9</v>
      </c>
      <c r="B30" s="10" t="s">
        <v>114</v>
      </c>
      <c r="C30" s="10" t="s">
        <v>115</v>
      </c>
      <c r="D30" s="12">
        <f>IF(OR(UPPER(E30)="A",UPPER(E30)="B"),E4,0)+IF(UPPER(F30)=UPPER(F5),F4,0)+IF(G30="",0,IF(LEN(SUBSTITUTE(SUBSTITUTE(UPPER(G30),"C",""),"D",""))&gt;0,0,IF(AND(ISNUMBER(FIND("C",UPPER(G30))),ISNUMBER(FIND("D",UPPER(G30)))),G4,G4/2)))+IF(UPPER(H30)=UPPER(H5),H4,0)+IF(UPPER(I30)=UPPER(I5),I4,0)+IF(UPPER(J30)=UPPER(J5),J4,0)+IF(K30="",0,IF(LEN(SUBSTITUTE(SUBSTITUTE(UPPER(K30),"A",""),"C",""))&gt;0,0,IF(AND(ISNUMBER(FIND("A",UPPER(K30))),ISNUMBER(FIND("C",UPPER(K30)))),K4,K4/2)))+IF(UPPER(L30)=UPPER(L5),L4,0)+IF(UPPER(M30)=UPPER(M5),M4,0)+IF(UPPER(N30)=UPPER(N5),N4,0)+IF(O30="",0,IF(LEN(SUBSTITUTE(SUBSTITUTE(UPPER(O30),"A",""),"B",""))&gt;0,0,IF(AND(ISNUMBER(FIND("A",UPPER(O30))),ISNUMBER(FIND("B",UPPER(O30)))),O4,O4/2)))+IF(UPPER(P30)=UPPER(P5),P4,0)+IF(UPPER(Q30)=UPPER(Q5),Q4,0)+IF(UPPER(R30)=UPPER(R5),R4,0)+IF(UPPER(S30)=UPPER(S5),S4,0)+IF(UPPER(T30)=UPPER(T5),T4,0)+IF(U30="",0,IF(LEN(SUBSTITUTE(SUBSTITUTE(UPPER(U30),"A",""),"D",""))&gt;0,0,IF(AND(ISNUMBER(FIND("A",UPPER(U30))),ISNUMBER(FIND("D",UPPER(U30)))),U4,U4/2)))+IF(V30="",0,IF(LEN(SUBSTITUTE(SUBSTITUTE(UPPER(V30),"C",""),"D",""))&gt;0,0,IF(AND(ISNUMBER(FIND("C",UPPER(V30))),ISNUMBER(FIND("D",UPPER(V30)))),V4,V4/2)))+IF(UPPER(W30)=UPPER(W5),W4,0)+IF(UPPER(X30)=UPPER(X5),X4,0)+IF(UPPER(Y30)=UPPER(Y5),Y4,0)+IF(UPPER(Z30)=UPPER(Z5),Z4,0)+IF(AA30="",0,IF(LEN(SUBSTITUTE(SUBSTITUTE(UPPER(AA30),"C",""),"D",""))&gt;0,0,IF(AND(ISNUMBER(FIND("C",UPPER(AA30))),ISNUMBER(FIND("D",UPPER(AA30)))),AA4,AA4/2)))+IF(AB30="",0,IF(LEN(SUBSTITUTE(SUBSTITUTE(UPPER(AB30),"C",""),"D",""))&gt;0,0,IF(AND(ISNUMBER(FIND("C",UPPER(AB30))),ISNUMBER(FIND("D",UPPER(AB30)))),AB4,AB4/2)))+IF(UPPER(AC30)=UPPER(AC5),AC4,0)+IF(UPPER(AD30)=UPPER(AD5),AD4,0)+IF(UPPER(AE30)=UPPER(AE5),AE4,0)+IF(UPPER(AF30)=UPPER(AF5),AF4,0)+IF(UPPER(AG30)=UPPER(AG5),AG4,0)+IF(UPPER(AH30)=UPPER(AH5),AH4,0)+IF(AI30="",0,IF(LEN(SUBSTITUTE(SUBSTITUTE(UPPER(AI30),"A",""),"C",""))&gt;0,0,IF(AND(ISNUMBER(FIND("A",UPPER(AI30))),ISNUMBER(FIND("C",UPPER(AI30)))),AI4,AI4/2)))+IF(UPPER(AJ30)=UPPER(AJ5),AJ4,0)+IF(UPPER(AK30)=UPPER(AK5),AK4,0)+IF(UPPER(AL30)=UPPER(AL5),AL4,0)+IF(UPPER(AM30)=UPPER(AM5),AM4,0)+IF(AN30="",0,IF(LEN(SUBSTITUTE(SUBSTITUTE(UPPER(AN30),"A",""),"C",""))&gt;0,0,IF(AND(ISNUMBER(FIND("A",UPPER(AN30))),ISNUMBER(FIND("C",UPPER(AN30)))),AN4,AN4/2)))+IF(UPPER(AO30)=UPPER(AO5),AO4,0)+IF(UPPER(AP30)=UPPER(AP5),AP4,0)+IF(OR(UPPER(AQ30)="A",UPPER(AQ30)="B"),AQ4,0)+IF(AR30="",0,IF(LEN(SUBSTITUTE(SUBSTITUTE(UPPER(AR30),"A",""),"D",""))&gt;0,0,IF(AND(ISNUMBER(FIND("A",UPPER(AR30))),ISNUMBER(FIND("D",UPPER(AR30)))),AR4,AR4/2)))</f>
        <v>55</v>
      </c>
      <c r="E30" s="13" t="s">
        <v>63</v>
      </c>
      <c r="F30" s="13" t="s">
        <v>60</v>
      </c>
      <c r="G30" s="13" t="s">
        <v>67</v>
      </c>
      <c r="H30" s="13" t="s">
        <v>60</v>
      </c>
      <c r="I30" s="13" t="s">
        <v>60</v>
      </c>
      <c r="J30" s="13" t="s">
        <v>63</v>
      </c>
      <c r="K30" s="13" t="s">
        <v>74</v>
      </c>
      <c r="L30" s="13" t="s">
        <v>63</v>
      </c>
      <c r="M30" s="13" t="s">
        <v>63</v>
      </c>
      <c r="N30" s="13" t="s">
        <v>64</v>
      </c>
      <c r="O30" s="13" t="s">
        <v>73</v>
      </c>
      <c r="P30" s="13" t="s">
        <v>61</v>
      </c>
      <c r="Q30" s="13" t="s">
        <v>60</v>
      </c>
      <c r="R30" s="13" t="s">
        <v>61</v>
      </c>
      <c r="S30" s="13" t="s">
        <v>64</v>
      </c>
      <c r="T30" s="13" t="s">
        <v>63</v>
      </c>
      <c r="U30" s="13" t="s">
        <v>74</v>
      </c>
      <c r="V30" s="13" t="s">
        <v>67</v>
      </c>
      <c r="W30" s="13" t="s">
        <v>61</v>
      </c>
      <c r="X30" s="13" t="s">
        <v>63</v>
      </c>
      <c r="Y30" s="13" t="s">
        <v>60</v>
      </c>
      <c r="Z30" s="13" t="s">
        <v>63</v>
      </c>
      <c r="AA30" s="13" t="s">
        <v>116</v>
      </c>
      <c r="AB30" s="13" t="s">
        <v>74</v>
      </c>
      <c r="AC30" s="13" t="s">
        <v>60</v>
      </c>
      <c r="AD30" s="13" t="s">
        <v>64</v>
      </c>
      <c r="AE30" s="13" t="s">
        <v>60</v>
      </c>
      <c r="AF30" s="13" t="s">
        <v>61</v>
      </c>
      <c r="AG30" s="13" t="s">
        <v>64</v>
      </c>
      <c r="AH30" s="13" t="s">
        <v>63</v>
      </c>
      <c r="AI30" s="13" t="s">
        <v>65</v>
      </c>
      <c r="AJ30" s="13" t="s">
        <v>64</v>
      </c>
      <c r="AK30" s="13" t="s">
        <v>61</v>
      </c>
      <c r="AL30" s="13" t="s">
        <v>63</v>
      </c>
      <c r="AM30" s="13" t="s">
        <v>63</v>
      </c>
      <c r="AN30" s="13" t="s">
        <v>65</v>
      </c>
      <c r="AO30" s="13" t="s">
        <v>61</v>
      </c>
      <c r="AP30" s="13" t="s">
        <v>60</v>
      </c>
      <c r="AQ30" s="13" t="s">
        <v>60</v>
      </c>
      <c r="AR30" s="13" t="s">
        <v>65</v>
      </c>
    </row>
    <row r="31" ht="15.75" customHeight="1">
      <c r="A31" s="10">
        <v>2.023905418E9</v>
      </c>
      <c r="B31" s="10" t="s">
        <v>117</v>
      </c>
      <c r="C31" s="10" t="s">
        <v>118</v>
      </c>
      <c r="D31" s="12">
        <f>IF(OR(UPPER(E31)="A",UPPER(E31)="B"),E4,0)+IF(UPPER(F31)=UPPER(F5),F4,0)+IF(G31="",0,IF(LEN(SUBSTITUTE(SUBSTITUTE(UPPER(G31),"C",""),"D",""))&gt;0,0,IF(AND(ISNUMBER(FIND("C",UPPER(G31))),ISNUMBER(FIND("D",UPPER(G31)))),G4,G4/2)))+IF(UPPER(H31)=UPPER(H5),H4,0)+IF(UPPER(I31)=UPPER(I5),I4,0)+IF(UPPER(J31)=UPPER(J5),J4,0)+IF(K31="",0,IF(LEN(SUBSTITUTE(SUBSTITUTE(UPPER(K31),"A",""),"C",""))&gt;0,0,IF(AND(ISNUMBER(FIND("A",UPPER(K31))),ISNUMBER(FIND("C",UPPER(K31)))),K4,K4/2)))+IF(UPPER(L31)=UPPER(L5),L4,0)+IF(UPPER(M31)=UPPER(M5),M4,0)+IF(UPPER(N31)=UPPER(N5),N4,0)+IF(O31="",0,IF(LEN(SUBSTITUTE(SUBSTITUTE(UPPER(O31),"A",""),"B",""))&gt;0,0,IF(AND(ISNUMBER(FIND("A",UPPER(O31))),ISNUMBER(FIND("B",UPPER(O31)))),O4,O4/2)))+IF(UPPER(P31)=UPPER(P5),P4,0)+IF(UPPER(Q31)=UPPER(Q5),Q4,0)+IF(UPPER(R31)=UPPER(R5),R4,0)+IF(UPPER(S31)=UPPER(S5),S4,0)+IF(UPPER(T31)=UPPER(T5),T4,0)+IF(U31="",0,IF(LEN(SUBSTITUTE(SUBSTITUTE(UPPER(U31),"A",""),"D",""))&gt;0,0,IF(AND(ISNUMBER(FIND("A",UPPER(U31))),ISNUMBER(FIND("D",UPPER(U31)))),U4,U4/2)))+IF(V31="",0,IF(LEN(SUBSTITUTE(SUBSTITUTE(UPPER(V31),"C",""),"D",""))&gt;0,0,IF(AND(ISNUMBER(FIND("C",UPPER(V31))),ISNUMBER(FIND("D",UPPER(V31)))),V4,V4/2)))+IF(UPPER(W31)=UPPER(W5),W4,0)+IF(UPPER(X31)=UPPER(X5),X4,0)+IF(UPPER(Y31)=UPPER(Y5),Y4,0)+IF(UPPER(Z31)=UPPER(Z5),Z4,0)+IF(AA31="",0,IF(LEN(SUBSTITUTE(SUBSTITUTE(UPPER(AA31),"C",""),"D",""))&gt;0,0,IF(AND(ISNUMBER(FIND("C",UPPER(AA31))),ISNUMBER(FIND("D",UPPER(AA31)))),AA4,AA4/2)))+IF(AB31="",0,IF(LEN(SUBSTITUTE(SUBSTITUTE(UPPER(AB31),"C",""),"D",""))&gt;0,0,IF(AND(ISNUMBER(FIND("C",UPPER(AB31))),ISNUMBER(FIND("D",UPPER(AB31)))),AB4,AB4/2)))+IF(UPPER(AC31)=UPPER(AC5),AC4,0)+IF(UPPER(AD31)=UPPER(AD5),AD4,0)+IF(UPPER(AE31)=UPPER(AE5),AE4,0)+IF(UPPER(AF31)=UPPER(AF5),AF4,0)+IF(UPPER(AG31)=UPPER(AG5),AG4,0)+IF(UPPER(AH31)=UPPER(AH5),AH4,0)+IF(AI31="",0,IF(LEN(SUBSTITUTE(SUBSTITUTE(UPPER(AI31),"A",""),"C",""))&gt;0,0,IF(AND(ISNUMBER(FIND("A",UPPER(AI31))),ISNUMBER(FIND("C",UPPER(AI31)))),AI4,AI4/2)))+IF(UPPER(AJ31)=UPPER(AJ5),AJ4,0)+IF(UPPER(AK31)=UPPER(AK5),AK4,0)+IF(UPPER(AL31)=UPPER(AL5),AL4,0)+IF(UPPER(AM31)=UPPER(AM5),AM4,0)+IF(AN31="",0,IF(LEN(SUBSTITUTE(SUBSTITUTE(UPPER(AN31),"A",""),"C",""))&gt;0,0,IF(AND(ISNUMBER(FIND("A",UPPER(AN31))),ISNUMBER(FIND("C",UPPER(AN31)))),AN4,AN4/2)))+IF(UPPER(AO31)=UPPER(AO5),AO4,0)+IF(UPPER(AP31)=UPPER(AP5),AP4,0)+IF(OR(UPPER(AQ31)="A",UPPER(AQ31)="B"),AQ4,0)+IF(AR31="",0,IF(LEN(SUBSTITUTE(SUBSTITUTE(UPPER(AR31),"A",""),"D",""))&gt;0,0,IF(AND(ISNUMBER(FIND("A",UPPER(AR31))),ISNUMBER(FIND("D",UPPER(AR31)))),AR4,AR4/2)))</f>
        <v>77.5</v>
      </c>
      <c r="E31" s="13" t="s">
        <v>60</v>
      </c>
      <c r="F31" s="13" t="s">
        <v>61</v>
      </c>
      <c r="G31" s="13" t="s">
        <v>62</v>
      </c>
      <c r="H31" s="13" t="s">
        <v>63</v>
      </c>
      <c r="I31" s="13" t="s">
        <v>60</v>
      </c>
      <c r="J31" s="13" t="s">
        <v>60</v>
      </c>
      <c r="K31" s="13" t="s">
        <v>65</v>
      </c>
      <c r="L31" s="13" t="s">
        <v>61</v>
      </c>
      <c r="M31" s="13" t="s">
        <v>61</v>
      </c>
      <c r="N31" s="13" t="s">
        <v>63</v>
      </c>
      <c r="O31" s="13" t="s">
        <v>66</v>
      </c>
      <c r="P31" s="13" t="s">
        <v>60</v>
      </c>
      <c r="Q31" s="13" t="s">
        <v>64</v>
      </c>
      <c r="R31" s="13" t="s">
        <v>61</v>
      </c>
      <c r="S31" s="13" t="s">
        <v>60</v>
      </c>
      <c r="T31" s="13" t="s">
        <v>64</v>
      </c>
      <c r="U31" s="13" t="s">
        <v>66</v>
      </c>
      <c r="V31" s="13" t="s">
        <v>62</v>
      </c>
      <c r="W31" s="13" t="s">
        <v>63</v>
      </c>
      <c r="X31" s="13" t="s">
        <v>63</v>
      </c>
      <c r="Y31" s="13" t="s">
        <v>61</v>
      </c>
      <c r="Z31" s="13" t="s">
        <v>60</v>
      </c>
      <c r="AA31" s="13" t="s">
        <v>62</v>
      </c>
      <c r="AB31" s="13" t="s">
        <v>67</v>
      </c>
      <c r="AC31" s="13" t="s">
        <v>60</v>
      </c>
      <c r="AD31" s="13" t="s">
        <v>64</v>
      </c>
      <c r="AE31" s="13" t="s">
        <v>60</v>
      </c>
      <c r="AF31" s="13" t="s">
        <v>61</v>
      </c>
      <c r="AG31" s="13" t="s">
        <v>64</v>
      </c>
      <c r="AH31" s="13" t="s">
        <v>63</v>
      </c>
      <c r="AI31" s="13" t="s">
        <v>65</v>
      </c>
      <c r="AJ31" s="13" t="s">
        <v>64</v>
      </c>
      <c r="AK31" s="13" t="s">
        <v>61</v>
      </c>
      <c r="AL31" s="13" t="s">
        <v>63</v>
      </c>
      <c r="AM31" s="13" t="s">
        <v>61</v>
      </c>
      <c r="AN31" s="13" t="s">
        <v>65</v>
      </c>
      <c r="AO31" s="13" t="s">
        <v>61</v>
      </c>
      <c r="AP31" s="13" t="s">
        <v>60</v>
      </c>
      <c r="AQ31" s="13" t="s">
        <v>60</v>
      </c>
      <c r="AR31" s="13" t="s">
        <v>67</v>
      </c>
    </row>
    <row r="32" ht="15.75" customHeight="1">
      <c r="A32" s="10">
        <v>2.023900906E9</v>
      </c>
      <c r="B32" s="10" t="s">
        <v>119</v>
      </c>
      <c r="C32" s="10" t="s">
        <v>120</v>
      </c>
      <c r="D32" s="12">
        <f>IF(OR(UPPER(E32)="A",UPPER(E32)="B"),E4,0)+IF(UPPER(F32)=UPPER(F5),F4,0)+IF(G32="",0,IF(LEN(SUBSTITUTE(SUBSTITUTE(UPPER(G32),"C",""),"D",""))&gt;0,0,IF(AND(ISNUMBER(FIND("C",UPPER(G32))),ISNUMBER(FIND("D",UPPER(G32)))),G4,G4/2)))+IF(UPPER(H32)=UPPER(H5),H4,0)+IF(UPPER(I32)=UPPER(I5),I4,0)+IF(UPPER(J32)=UPPER(J5),J4,0)+IF(K32="",0,IF(LEN(SUBSTITUTE(SUBSTITUTE(UPPER(K32),"A",""),"C",""))&gt;0,0,IF(AND(ISNUMBER(FIND("A",UPPER(K32))),ISNUMBER(FIND("C",UPPER(K32)))),K4,K4/2)))+IF(UPPER(L32)=UPPER(L5),L4,0)+IF(UPPER(M32)=UPPER(M5),M4,0)+IF(UPPER(N32)=UPPER(N5),N4,0)+IF(O32="",0,IF(LEN(SUBSTITUTE(SUBSTITUTE(UPPER(O32),"A",""),"B",""))&gt;0,0,IF(AND(ISNUMBER(FIND("A",UPPER(O32))),ISNUMBER(FIND("B",UPPER(O32)))),O4,O4/2)))+IF(UPPER(P32)=UPPER(P5),P4,0)+IF(UPPER(Q32)=UPPER(Q5),Q4,0)+IF(UPPER(R32)=UPPER(R5),R4,0)+IF(UPPER(S32)=UPPER(S5),S4,0)+IF(UPPER(T32)=UPPER(T5),T4,0)+IF(U32="",0,IF(LEN(SUBSTITUTE(SUBSTITUTE(UPPER(U32),"A",""),"D",""))&gt;0,0,IF(AND(ISNUMBER(FIND("A",UPPER(U32))),ISNUMBER(FIND("D",UPPER(U32)))),U4,U4/2)))+IF(V32="",0,IF(LEN(SUBSTITUTE(SUBSTITUTE(UPPER(V32),"C",""),"D",""))&gt;0,0,IF(AND(ISNUMBER(FIND("C",UPPER(V32))),ISNUMBER(FIND("D",UPPER(V32)))),V4,V4/2)))+IF(UPPER(W32)=UPPER(W5),W4,0)+IF(UPPER(X32)=UPPER(X5),X4,0)+IF(UPPER(Y32)=UPPER(Y5),Y4,0)+IF(UPPER(Z32)=UPPER(Z5),Z4,0)+IF(AA32="",0,IF(LEN(SUBSTITUTE(SUBSTITUTE(UPPER(AA32),"C",""),"D",""))&gt;0,0,IF(AND(ISNUMBER(FIND("C",UPPER(AA32))),ISNUMBER(FIND("D",UPPER(AA32)))),AA4,AA4/2)))+IF(AB32="",0,IF(LEN(SUBSTITUTE(SUBSTITUTE(UPPER(AB32),"C",""),"D",""))&gt;0,0,IF(AND(ISNUMBER(FIND("C",UPPER(AB32))),ISNUMBER(FIND("D",UPPER(AB32)))),AB4,AB4/2)))+IF(UPPER(AC32)=UPPER(AC5),AC4,0)+IF(UPPER(AD32)=UPPER(AD5),AD4,0)+IF(UPPER(AE32)=UPPER(AE5),AE4,0)+IF(UPPER(AF32)=UPPER(AF5),AF4,0)+IF(UPPER(AG32)=UPPER(AG5),AG4,0)+IF(UPPER(AH32)=UPPER(AH5),AH4,0)+IF(AI32="",0,IF(LEN(SUBSTITUTE(SUBSTITUTE(UPPER(AI32),"A",""),"C",""))&gt;0,0,IF(AND(ISNUMBER(FIND("A",UPPER(AI32))),ISNUMBER(FIND("C",UPPER(AI32)))),AI4,AI4/2)))+IF(UPPER(AJ32)=UPPER(AJ5),AJ4,0)+IF(UPPER(AK32)=UPPER(AK5),AK4,0)+IF(UPPER(AL32)=UPPER(AL5),AL4,0)+IF(UPPER(AM32)=UPPER(AM5),AM4,0)+IF(AN32="",0,IF(LEN(SUBSTITUTE(SUBSTITUTE(UPPER(AN32),"A",""),"C",""))&gt;0,0,IF(AND(ISNUMBER(FIND("A",UPPER(AN32))),ISNUMBER(FIND("C",UPPER(AN32)))),AN4,AN4/2)))+IF(UPPER(AO32)=UPPER(AO5),AO4,0)+IF(UPPER(AP32)=UPPER(AP5),AP4,0)+IF(OR(UPPER(AQ32)="A",UPPER(AQ32)="B"),AQ4,0)+IF(AR32="",0,IF(LEN(SUBSTITUTE(SUBSTITUTE(UPPER(AR32),"A",""),"D",""))&gt;0,0,IF(AND(ISNUMBER(FIND("A",UPPER(AR32))),ISNUMBER(FIND("D",UPPER(AR32)))),AR4,AR4/2)))</f>
        <v>65</v>
      </c>
      <c r="E32" s="13" t="s">
        <v>61</v>
      </c>
      <c r="F32" s="13" t="s">
        <v>61</v>
      </c>
      <c r="G32" s="13" t="s">
        <v>63</v>
      </c>
      <c r="H32" s="13" t="s">
        <v>61</v>
      </c>
      <c r="I32" s="13" t="s">
        <v>60</v>
      </c>
      <c r="J32" s="13" t="s">
        <v>61</v>
      </c>
      <c r="K32" s="13" t="s">
        <v>65</v>
      </c>
      <c r="L32" s="13" t="s">
        <v>63</v>
      </c>
      <c r="M32" s="13" t="s">
        <v>61</v>
      </c>
      <c r="N32" s="13" t="s">
        <v>64</v>
      </c>
      <c r="O32" s="13" t="s">
        <v>74</v>
      </c>
      <c r="P32" s="13" t="s">
        <v>60</v>
      </c>
      <c r="Q32" s="13" t="s">
        <v>63</v>
      </c>
      <c r="R32" s="13" t="s">
        <v>61</v>
      </c>
      <c r="S32" s="13" t="s">
        <v>60</v>
      </c>
      <c r="T32" s="13" t="s">
        <v>64</v>
      </c>
      <c r="U32" s="13" t="s">
        <v>67</v>
      </c>
      <c r="V32" s="13" t="s">
        <v>62</v>
      </c>
      <c r="W32" s="13" t="s">
        <v>63</v>
      </c>
      <c r="X32" s="13" t="s">
        <v>61</v>
      </c>
      <c r="Y32" s="13" t="s">
        <v>64</v>
      </c>
      <c r="Z32" s="13" t="s">
        <v>63</v>
      </c>
      <c r="AA32" s="13" t="s">
        <v>62</v>
      </c>
      <c r="AB32" s="13" t="s">
        <v>66</v>
      </c>
      <c r="AC32" s="13" t="s">
        <v>60</v>
      </c>
      <c r="AD32" s="13" t="s">
        <v>64</v>
      </c>
      <c r="AE32" s="13" t="s">
        <v>60</v>
      </c>
      <c r="AF32" s="13" t="s">
        <v>61</v>
      </c>
      <c r="AG32" s="13" t="s">
        <v>64</v>
      </c>
      <c r="AH32" s="13" t="s">
        <v>60</v>
      </c>
      <c r="AI32" s="13" t="s">
        <v>61</v>
      </c>
      <c r="AJ32" s="13" t="s">
        <v>64</v>
      </c>
      <c r="AK32" s="13" t="s">
        <v>61</v>
      </c>
      <c r="AL32" s="13" t="s">
        <v>60</v>
      </c>
      <c r="AM32" s="13" t="s">
        <v>64</v>
      </c>
      <c r="AN32" s="13" t="s">
        <v>65</v>
      </c>
      <c r="AO32" s="13" t="s">
        <v>61</v>
      </c>
      <c r="AP32" s="13" t="s">
        <v>60</v>
      </c>
      <c r="AQ32" s="13" t="s">
        <v>60</v>
      </c>
      <c r="AR32" s="13" t="s">
        <v>67</v>
      </c>
    </row>
    <row r="33" ht="15.75" customHeight="1">
      <c r="A33" s="10">
        <v>2.023905325E9</v>
      </c>
      <c r="B33" s="10" t="s">
        <v>121</v>
      </c>
      <c r="C33" s="10" t="s">
        <v>122</v>
      </c>
      <c r="D33" s="12">
        <f>IF(OR(UPPER(E33)="A",UPPER(E33)="B"),E4,0)+IF(UPPER(F33)=UPPER(F5),F4,0)+IF(G33="",0,IF(LEN(SUBSTITUTE(SUBSTITUTE(UPPER(G33),"C",""),"D",""))&gt;0,0,IF(AND(ISNUMBER(FIND("C",UPPER(G33))),ISNUMBER(FIND("D",UPPER(G33)))),G4,G4/2)))+IF(UPPER(H33)=UPPER(H5),H4,0)+IF(UPPER(I33)=UPPER(I5),I4,0)+IF(UPPER(J33)=UPPER(J5),J4,0)+IF(K33="",0,IF(LEN(SUBSTITUTE(SUBSTITUTE(UPPER(K33),"A",""),"C",""))&gt;0,0,IF(AND(ISNUMBER(FIND("A",UPPER(K33))),ISNUMBER(FIND("C",UPPER(K33)))),K4,K4/2)))+IF(UPPER(L33)=UPPER(L5),L4,0)+IF(UPPER(M33)=UPPER(M5),M4,0)+IF(UPPER(N33)=UPPER(N5),N4,0)+IF(O33="",0,IF(LEN(SUBSTITUTE(SUBSTITUTE(UPPER(O33),"A",""),"B",""))&gt;0,0,IF(AND(ISNUMBER(FIND("A",UPPER(O33))),ISNUMBER(FIND("B",UPPER(O33)))),O4,O4/2)))+IF(UPPER(P33)=UPPER(P5),P4,0)+IF(UPPER(Q33)=UPPER(Q5),Q4,0)+IF(UPPER(R33)=UPPER(R5),R4,0)+IF(UPPER(S33)=UPPER(S5),S4,0)+IF(UPPER(T33)=UPPER(T5),T4,0)+IF(U33="",0,IF(LEN(SUBSTITUTE(SUBSTITUTE(UPPER(U33),"A",""),"D",""))&gt;0,0,IF(AND(ISNUMBER(FIND("A",UPPER(U33))),ISNUMBER(FIND("D",UPPER(U33)))),U4,U4/2)))+IF(V33="",0,IF(LEN(SUBSTITUTE(SUBSTITUTE(UPPER(V33),"C",""),"D",""))&gt;0,0,IF(AND(ISNUMBER(FIND("C",UPPER(V33))),ISNUMBER(FIND("D",UPPER(V33)))),V4,V4/2)))+IF(UPPER(W33)=UPPER(W5),W4,0)+IF(UPPER(X33)=UPPER(X5),X4,0)+IF(UPPER(Y33)=UPPER(Y5),Y4,0)+IF(UPPER(Z33)=UPPER(Z5),Z4,0)+IF(AA33="",0,IF(LEN(SUBSTITUTE(SUBSTITUTE(UPPER(AA33),"C",""),"D",""))&gt;0,0,IF(AND(ISNUMBER(FIND("C",UPPER(AA33))),ISNUMBER(FIND("D",UPPER(AA33)))),AA4,AA4/2)))+IF(AB33="",0,IF(LEN(SUBSTITUTE(SUBSTITUTE(UPPER(AB33),"C",""),"D",""))&gt;0,0,IF(AND(ISNUMBER(FIND("C",UPPER(AB33))),ISNUMBER(FIND("D",UPPER(AB33)))),AB4,AB4/2)))+IF(UPPER(AC33)=UPPER(AC5),AC4,0)+IF(UPPER(AD33)=UPPER(AD5),AD4,0)+IF(UPPER(AE33)=UPPER(AE5),AE4,0)+IF(UPPER(AF33)=UPPER(AF5),AF4,0)+IF(UPPER(AG33)=UPPER(AG5),AG4,0)+IF(UPPER(AH33)=UPPER(AH5),AH4,0)+IF(AI33="",0,IF(LEN(SUBSTITUTE(SUBSTITUTE(UPPER(AI33),"A",""),"C",""))&gt;0,0,IF(AND(ISNUMBER(FIND("A",UPPER(AI33))),ISNUMBER(FIND("C",UPPER(AI33)))),AI4,AI4/2)))+IF(UPPER(AJ33)=UPPER(AJ5),AJ4,0)+IF(UPPER(AK33)=UPPER(AK5),AK4,0)+IF(UPPER(AL33)=UPPER(AL5),AL4,0)+IF(UPPER(AM33)=UPPER(AM5),AM4,0)+IF(AN33="",0,IF(LEN(SUBSTITUTE(SUBSTITUTE(UPPER(AN33),"A",""),"C",""))&gt;0,0,IF(AND(ISNUMBER(FIND("A",UPPER(AN33))),ISNUMBER(FIND("C",UPPER(AN33)))),AN4,AN4/2)))+IF(UPPER(AO33)=UPPER(AO5),AO4,0)+IF(UPPER(AP33)=UPPER(AP5),AP4,0)+IF(OR(UPPER(AQ33)="A",UPPER(AQ33)="B"),AQ4,0)+IF(AR33="",0,IF(LEN(SUBSTITUTE(SUBSTITUTE(UPPER(AR33),"A",""),"D",""))&gt;0,0,IF(AND(ISNUMBER(FIND("A",UPPER(AR33))),ISNUMBER(FIND("D",UPPER(AR33)))),AR4,AR4/2)))</f>
        <v>46.25</v>
      </c>
      <c r="E33" s="13" t="s">
        <v>61</v>
      </c>
      <c r="F33" s="13" t="s">
        <v>61</v>
      </c>
      <c r="G33" s="13" t="s">
        <v>63</v>
      </c>
      <c r="H33" s="13" t="s">
        <v>64</v>
      </c>
      <c r="I33" s="13" t="s">
        <v>61</v>
      </c>
      <c r="J33" s="13" t="s">
        <v>64</v>
      </c>
      <c r="K33" s="13" t="s">
        <v>65</v>
      </c>
      <c r="L33" s="13" t="s">
        <v>60</v>
      </c>
      <c r="M33" s="13" t="s">
        <v>63</v>
      </c>
      <c r="N33" s="13" t="s">
        <v>61</v>
      </c>
      <c r="O33" s="13" t="s">
        <v>66</v>
      </c>
      <c r="P33" s="13" t="s">
        <v>60</v>
      </c>
      <c r="Q33" s="13" t="s">
        <v>64</v>
      </c>
      <c r="R33" s="13" t="s">
        <v>61</v>
      </c>
      <c r="S33" s="13" t="s">
        <v>61</v>
      </c>
      <c r="T33" s="13" t="s">
        <v>61</v>
      </c>
      <c r="U33" s="13" t="s">
        <v>65</v>
      </c>
      <c r="V33" s="13" t="s">
        <v>66</v>
      </c>
      <c r="W33" s="13" t="s">
        <v>60</v>
      </c>
      <c r="X33" s="13" t="s">
        <v>60</v>
      </c>
      <c r="Y33" s="13" t="s">
        <v>60</v>
      </c>
      <c r="Z33" s="13" t="s">
        <v>63</v>
      </c>
      <c r="AA33" s="13" t="s">
        <v>74</v>
      </c>
      <c r="AB33" s="13" t="s">
        <v>62</v>
      </c>
      <c r="AC33" s="13" t="s">
        <v>60</v>
      </c>
      <c r="AD33" s="13" t="s">
        <v>64</v>
      </c>
      <c r="AE33" s="13" t="s">
        <v>60</v>
      </c>
      <c r="AF33" s="13" t="s">
        <v>64</v>
      </c>
      <c r="AG33" s="13" t="s">
        <v>63</v>
      </c>
      <c r="AH33" s="13" t="s">
        <v>60</v>
      </c>
      <c r="AI33" s="13" t="s">
        <v>73</v>
      </c>
      <c r="AJ33" s="13" t="s">
        <v>63</v>
      </c>
      <c r="AK33" s="13" t="s">
        <v>60</v>
      </c>
      <c r="AL33" s="13" t="s">
        <v>63</v>
      </c>
      <c r="AM33" s="13" t="s">
        <v>63</v>
      </c>
      <c r="AN33" s="13" t="s">
        <v>73</v>
      </c>
      <c r="AO33" s="13" t="s">
        <v>61</v>
      </c>
      <c r="AP33" s="13" t="s">
        <v>63</v>
      </c>
      <c r="AQ33" s="13" t="s">
        <v>60</v>
      </c>
      <c r="AR33" s="13" t="s">
        <v>62</v>
      </c>
    </row>
    <row r="34" ht="15.75" customHeight="1">
      <c r="A34" s="10">
        <v>2.023902046E9</v>
      </c>
      <c r="B34" s="10" t="s">
        <v>123</v>
      </c>
      <c r="C34" s="10" t="s">
        <v>124</v>
      </c>
      <c r="D34" s="12">
        <f>IF(OR(UPPER(E34)="A",UPPER(E34)="B"),E4,0)+IF(UPPER(F34)=UPPER(F5),F4,0)+IF(G34="",0,IF(LEN(SUBSTITUTE(SUBSTITUTE(UPPER(G34),"C",""),"D",""))&gt;0,0,IF(AND(ISNUMBER(FIND("C",UPPER(G34))),ISNUMBER(FIND("D",UPPER(G34)))),G4,G4/2)))+IF(UPPER(H34)=UPPER(H5),H4,0)+IF(UPPER(I34)=UPPER(I5),I4,0)+IF(UPPER(J34)=UPPER(J5),J4,0)+IF(K34="",0,IF(LEN(SUBSTITUTE(SUBSTITUTE(UPPER(K34),"A",""),"C",""))&gt;0,0,IF(AND(ISNUMBER(FIND("A",UPPER(K34))),ISNUMBER(FIND("C",UPPER(K34)))),K4,K4/2)))+IF(UPPER(L34)=UPPER(L5),L4,0)+IF(UPPER(M34)=UPPER(M5),M4,0)+IF(UPPER(N34)=UPPER(N5),N4,0)+IF(O34="",0,IF(LEN(SUBSTITUTE(SUBSTITUTE(UPPER(O34),"A",""),"B",""))&gt;0,0,IF(AND(ISNUMBER(FIND("A",UPPER(O34))),ISNUMBER(FIND("B",UPPER(O34)))),O4,O4/2)))+IF(UPPER(P34)=UPPER(P5),P4,0)+IF(UPPER(Q34)=UPPER(Q5),Q4,0)+IF(UPPER(R34)=UPPER(R5),R4,0)+IF(UPPER(S34)=UPPER(S5),S4,0)+IF(UPPER(T34)=UPPER(T5),T4,0)+IF(U34="",0,IF(LEN(SUBSTITUTE(SUBSTITUTE(UPPER(U34),"A",""),"D",""))&gt;0,0,IF(AND(ISNUMBER(FIND("A",UPPER(U34))),ISNUMBER(FIND("D",UPPER(U34)))),U4,U4/2)))+IF(V34="",0,IF(LEN(SUBSTITUTE(SUBSTITUTE(UPPER(V34),"C",""),"D",""))&gt;0,0,IF(AND(ISNUMBER(FIND("C",UPPER(V34))),ISNUMBER(FIND("D",UPPER(V34)))),V4,V4/2)))+IF(UPPER(W34)=UPPER(W5),W4,0)+IF(UPPER(X34)=UPPER(X5),X4,0)+IF(UPPER(Y34)=UPPER(Y5),Y4,0)+IF(UPPER(Z34)=UPPER(Z5),Z4,0)+IF(AA34="",0,IF(LEN(SUBSTITUTE(SUBSTITUTE(UPPER(AA34),"C",""),"D",""))&gt;0,0,IF(AND(ISNUMBER(FIND("C",UPPER(AA34))),ISNUMBER(FIND("D",UPPER(AA34)))),AA4,AA4/2)))+IF(AB34="",0,IF(LEN(SUBSTITUTE(SUBSTITUTE(UPPER(AB34),"C",""),"D",""))&gt;0,0,IF(AND(ISNUMBER(FIND("C",UPPER(AB34))),ISNUMBER(FIND("D",UPPER(AB34)))),AB4,AB4/2)))+IF(UPPER(AC34)=UPPER(AC5),AC4,0)+IF(UPPER(AD34)=UPPER(AD5),AD4,0)+IF(UPPER(AE34)=UPPER(AE5),AE4,0)+IF(UPPER(AF34)=UPPER(AF5),AF4,0)+IF(UPPER(AG34)=UPPER(AG5),AG4,0)+IF(UPPER(AH34)=UPPER(AH5),AH4,0)+IF(AI34="",0,IF(LEN(SUBSTITUTE(SUBSTITUTE(UPPER(AI34),"A",""),"C",""))&gt;0,0,IF(AND(ISNUMBER(FIND("A",UPPER(AI34))),ISNUMBER(FIND("C",UPPER(AI34)))),AI4,AI4/2)))+IF(UPPER(AJ34)=UPPER(AJ5),AJ4,0)+IF(UPPER(AK34)=UPPER(AK5),AK4,0)+IF(UPPER(AL34)=UPPER(AL5),AL4,0)+IF(UPPER(AM34)=UPPER(AM5),AM4,0)+IF(AN34="",0,IF(LEN(SUBSTITUTE(SUBSTITUTE(UPPER(AN34),"A",""),"C",""))&gt;0,0,IF(AND(ISNUMBER(FIND("A",UPPER(AN34))),ISNUMBER(FIND("C",UPPER(AN34)))),AN4,AN4/2)))+IF(UPPER(AO34)=UPPER(AO5),AO4,0)+IF(UPPER(AP34)=UPPER(AP5),AP4,0)+IF(OR(UPPER(AQ34)="A",UPPER(AQ34)="B"),AQ4,0)+IF(AR34="",0,IF(LEN(SUBSTITUTE(SUBSTITUTE(UPPER(AR34),"A",""),"D",""))&gt;0,0,IF(AND(ISNUMBER(FIND("A",UPPER(AR34))),ISNUMBER(FIND("D",UPPER(AR34)))),AR4,AR4/2)))</f>
        <v>78.75</v>
      </c>
      <c r="E34" s="13" t="s">
        <v>60</v>
      </c>
      <c r="F34" s="13" t="s">
        <v>60</v>
      </c>
      <c r="G34" s="13" t="s">
        <v>125</v>
      </c>
      <c r="H34" s="13" t="s">
        <v>63</v>
      </c>
      <c r="I34" s="13" t="s">
        <v>60</v>
      </c>
      <c r="J34" s="13" t="s">
        <v>64</v>
      </c>
      <c r="K34" s="13" t="s">
        <v>70</v>
      </c>
      <c r="L34" s="13" t="s">
        <v>63</v>
      </c>
      <c r="M34" s="13" t="s">
        <v>61</v>
      </c>
      <c r="N34" s="13" t="s">
        <v>63</v>
      </c>
      <c r="O34" s="13" t="s">
        <v>66</v>
      </c>
      <c r="P34" s="13" t="s">
        <v>60</v>
      </c>
      <c r="Q34" s="13" t="s">
        <v>64</v>
      </c>
      <c r="R34" s="13" t="s">
        <v>61</v>
      </c>
      <c r="S34" s="13" t="s">
        <v>61</v>
      </c>
      <c r="T34" s="13" t="s">
        <v>64</v>
      </c>
      <c r="U34" s="13" t="s">
        <v>126</v>
      </c>
      <c r="V34" s="13" t="s">
        <v>62</v>
      </c>
      <c r="W34" s="13" t="s">
        <v>61</v>
      </c>
      <c r="X34" s="13" t="s">
        <v>63</v>
      </c>
      <c r="Y34" s="13" t="s">
        <v>60</v>
      </c>
      <c r="Z34" s="13" t="s">
        <v>63</v>
      </c>
      <c r="AA34" s="13" t="s">
        <v>125</v>
      </c>
      <c r="AB34" s="13" t="s">
        <v>126</v>
      </c>
      <c r="AC34" s="13" t="s">
        <v>60</v>
      </c>
      <c r="AD34" s="13" t="s">
        <v>64</v>
      </c>
      <c r="AE34" s="13" t="s">
        <v>60</v>
      </c>
      <c r="AF34" s="13" t="s">
        <v>61</v>
      </c>
      <c r="AG34" s="13" t="s">
        <v>64</v>
      </c>
      <c r="AH34" s="13" t="s">
        <v>63</v>
      </c>
      <c r="AI34" s="13" t="s">
        <v>70</v>
      </c>
      <c r="AJ34" s="13" t="s">
        <v>64</v>
      </c>
      <c r="AK34" s="13" t="s">
        <v>61</v>
      </c>
      <c r="AL34" s="13" t="s">
        <v>63</v>
      </c>
      <c r="AM34" s="13" t="s">
        <v>63</v>
      </c>
      <c r="AN34" s="13" t="s">
        <v>63</v>
      </c>
      <c r="AO34" s="13" t="s">
        <v>61</v>
      </c>
      <c r="AP34" s="13" t="s">
        <v>60</v>
      </c>
      <c r="AQ34" s="13" t="s">
        <v>60</v>
      </c>
      <c r="AR34" s="13" t="s">
        <v>67</v>
      </c>
    </row>
    <row r="35" ht="15.75" customHeight="1">
      <c r="A35" s="10">
        <v>2.023905942E9</v>
      </c>
      <c r="B35" s="10" t="s">
        <v>127</v>
      </c>
      <c r="C35" s="10" t="s">
        <v>128</v>
      </c>
      <c r="D35" s="12">
        <f>IF(OR(UPPER(E35)="A",UPPER(E35)="B"),E4,0)+IF(UPPER(F35)=UPPER(F5),F4,0)+IF(G35="",0,IF(LEN(SUBSTITUTE(SUBSTITUTE(UPPER(G35),"C",""),"D",""))&gt;0,0,IF(AND(ISNUMBER(FIND("C",UPPER(G35))),ISNUMBER(FIND("D",UPPER(G35)))),G4,G4/2)))+IF(UPPER(H35)=UPPER(H5),H4,0)+IF(UPPER(I35)=UPPER(I5),I4,0)+IF(UPPER(J35)=UPPER(J5),J4,0)+IF(K35="",0,IF(LEN(SUBSTITUTE(SUBSTITUTE(UPPER(K35),"A",""),"C",""))&gt;0,0,IF(AND(ISNUMBER(FIND("A",UPPER(K35))),ISNUMBER(FIND("C",UPPER(K35)))),K4,K4/2)))+IF(UPPER(L35)=UPPER(L5),L4,0)+IF(UPPER(M35)=UPPER(M5),M4,0)+IF(UPPER(N35)=UPPER(N5),N4,0)+IF(O35="",0,IF(LEN(SUBSTITUTE(SUBSTITUTE(UPPER(O35),"A",""),"B",""))&gt;0,0,IF(AND(ISNUMBER(FIND("A",UPPER(O35))),ISNUMBER(FIND("B",UPPER(O35)))),O4,O4/2)))+IF(UPPER(P35)=UPPER(P5),P4,0)+IF(UPPER(Q35)=UPPER(Q5),Q4,0)+IF(UPPER(R35)=UPPER(R5),R4,0)+IF(UPPER(S35)=UPPER(S5),S4,0)+IF(UPPER(T35)=UPPER(T5),T4,0)+IF(U35="",0,IF(LEN(SUBSTITUTE(SUBSTITUTE(UPPER(U35),"A",""),"D",""))&gt;0,0,IF(AND(ISNUMBER(FIND("A",UPPER(U35))),ISNUMBER(FIND("D",UPPER(U35)))),U4,U4/2)))+IF(V35="",0,IF(LEN(SUBSTITUTE(SUBSTITUTE(UPPER(V35),"C",""),"D",""))&gt;0,0,IF(AND(ISNUMBER(FIND("C",UPPER(V35))),ISNUMBER(FIND("D",UPPER(V35)))),V4,V4/2)))+IF(UPPER(W35)=UPPER(W5),W4,0)+IF(UPPER(X35)=UPPER(X5),X4,0)+IF(UPPER(Y35)=UPPER(Y5),Y4,0)+IF(UPPER(Z35)=UPPER(Z5),Z4,0)+IF(AA35="",0,IF(LEN(SUBSTITUTE(SUBSTITUTE(UPPER(AA35),"C",""),"D",""))&gt;0,0,IF(AND(ISNUMBER(FIND("C",UPPER(AA35))),ISNUMBER(FIND("D",UPPER(AA35)))),AA4,AA4/2)))+IF(AB35="",0,IF(LEN(SUBSTITUTE(SUBSTITUTE(UPPER(AB35),"C",""),"D",""))&gt;0,0,IF(AND(ISNUMBER(FIND("C",UPPER(AB35))),ISNUMBER(FIND("D",UPPER(AB35)))),AB4,AB4/2)))+IF(UPPER(AC35)=UPPER(AC5),AC4,0)+IF(UPPER(AD35)=UPPER(AD5),AD4,0)+IF(UPPER(AE35)=UPPER(AE5),AE4,0)+IF(UPPER(AF35)=UPPER(AF5),AF4,0)+IF(UPPER(AG35)=UPPER(AG5),AG4,0)+IF(UPPER(AH35)=UPPER(AH5),AH4,0)+IF(AI35="",0,IF(LEN(SUBSTITUTE(SUBSTITUTE(UPPER(AI35),"A",""),"C",""))&gt;0,0,IF(AND(ISNUMBER(FIND("A",UPPER(AI35))),ISNUMBER(FIND("C",UPPER(AI35)))),AI4,AI4/2)))+IF(UPPER(AJ35)=UPPER(AJ5),AJ4,0)+IF(UPPER(AK35)=UPPER(AK5),AK4,0)+IF(UPPER(AL35)=UPPER(AL5),AL4,0)+IF(UPPER(AM35)=UPPER(AM5),AM4,0)+IF(AN35="",0,IF(LEN(SUBSTITUTE(SUBSTITUTE(UPPER(AN35),"A",""),"C",""))&gt;0,0,IF(AND(ISNUMBER(FIND("A",UPPER(AN35))),ISNUMBER(FIND("C",UPPER(AN35)))),AN4,AN4/2)))+IF(UPPER(AO35)=UPPER(AO5),AO4,0)+IF(UPPER(AP35)=UPPER(AP5),AP4,0)+IF(OR(UPPER(AQ35)="A",UPPER(AQ35)="B"),AQ4,0)+IF(AR35="",0,IF(LEN(SUBSTITUTE(SUBSTITUTE(UPPER(AR35),"A",""),"D",""))&gt;0,0,IF(AND(ISNUMBER(FIND("A",UPPER(AR35))),ISNUMBER(FIND("D",UPPER(AR35)))),AR4,AR4/2)))</f>
        <v>76.25</v>
      </c>
      <c r="E35" s="13" t="s">
        <v>61</v>
      </c>
      <c r="F35" s="13" t="s">
        <v>61</v>
      </c>
      <c r="G35" s="13" t="s">
        <v>62</v>
      </c>
      <c r="H35" s="13" t="s">
        <v>63</v>
      </c>
      <c r="I35" s="13" t="s">
        <v>60</v>
      </c>
      <c r="J35" s="13" t="s">
        <v>63</v>
      </c>
      <c r="K35" s="13" t="s">
        <v>65</v>
      </c>
      <c r="L35" s="13" t="s">
        <v>63</v>
      </c>
      <c r="M35" s="13" t="s">
        <v>61</v>
      </c>
      <c r="N35" s="13" t="s">
        <v>64</v>
      </c>
      <c r="O35" s="13" t="s">
        <v>66</v>
      </c>
      <c r="P35" s="13" t="s">
        <v>60</v>
      </c>
      <c r="Q35" s="13" t="s">
        <v>64</v>
      </c>
      <c r="R35" s="13" t="s">
        <v>61</v>
      </c>
      <c r="S35" s="13" t="s">
        <v>60</v>
      </c>
      <c r="T35" s="13" t="s">
        <v>64</v>
      </c>
      <c r="U35" s="13" t="s">
        <v>64</v>
      </c>
      <c r="V35" s="13" t="s">
        <v>66</v>
      </c>
      <c r="W35" s="13" t="s">
        <v>60</v>
      </c>
      <c r="X35" s="13" t="s">
        <v>63</v>
      </c>
      <c r="Y35" s="13" t="s">
        <v>60</v>
      </c>
      <c r="Z35" s="13" t="s">
        <v>63</v>
      </c>
      <c r="AA35" s="13" t="s">
        <v>62</v>
      </c>
      <c r="AB35" s="13" t="s">
        <v>65</v>
      </c>
      <c r="AC35" s="13" t="s">
        <v>60</v>
      </c>
      <c r="AD35" s="13" t="s">
        <v>64</v>
      </c>
      <c r="AE35" s="13" t="s">
        <v>60</v>
      </c>
      <c r="AF35" s="13" t="s">
        <v>64</v>
      </c>
      <c r="AG35" s="13" t="s">
        <v>64</v>
      </c>
      <c r="AH35" s="13" t="s">
        <v>63</v>
      </c>
      <c r="AI35" s="13" t="s">
        <v>65</v>
      </c>
      <c r="AJ35" s="13" t="s">
        <v>61</v>
      </c>
      <c r="AK35" s="13" t="s">
        <v>60</v>
      </c>
      <c r="AL35" s="13" t="s">
        <v>63</v>
      </c>
      <c r="AM35" s="13" t="s">
        <v>63</v>
      </c>
      <c r="AN35" s="13" t="s">
        <v>65</v>
      </c>
      <c r="AO35" s="13" t="s">
        <v>61</v>
      </c>
      <c r="AP35" s="13" t="s">
        <v>60</v>
      </c>
      <c r="AQ35" s="13" t="s">
        <v>60</v>
      </c>
      <c r="AR35" s="13" t="s">
        <v>67</v>
      </c>
    </row>
    <row r="36" ht="15.75" customHeight="1">
      <c r="A36" s="10">
        <v>2.023901706E9</v>
      </c>
      <c r="B36" s="10" t="s">
        <v>129</v>
      </c>
      <c r="C36" s="10" t="s">
        <v>130</v>
      </c>
      <c r="D36" s="12">
        <f>IF(OR(UPPER(E36)="A",UPPER(E36)="B"),E4,0)+IF(UPPER(F36)=UPPER(F5),F4,0)+IF(G36="",0,IF(LEN(SUBSTITUTE(SUBSTITUTE(UPPER(G36),"C",""),"D",""))&gt;0,0,IF(AND(ISNUMBER(FIND("C",UPPER(G36))),ISNUMBER(FIND("D",UPPER(G36)))),G4,G4/2)))+IF(UPPER(H36)=UPPER(H5),H4,0)+IF(UPPER(I36)=UPPER(I5),I4,0)+IF(UPPER(J36)=UPPER(J5),J4,0)+IF(K36="",0,IF(LEN(SUBSTITUTE(SUBSTITUTE(UPPER(K36),"A",""),"C",""))&gt;0,0,IF(AND(ISNUMBER(FIND("A",UPPER(K36))),ISNUMBER(FIND("C",UPPER(K36)))),K4,K4/2)))+IF(UPPER(L36)=UPPER(L5),L4,0)+IF(UPPER(M36)=UPPER(M5),M4,0)+IF(UPPER(N36)=UPPER(N5),N4,0)+IF(O36="",0,IF(LEN(SUBSTITUTE(SUBSTITUTE(UPPER(O36),"A",""),"B",""))&gt;0,0,IF(AND(ISNUMBER(FIND("A",UPPER(O36))),ISNUMBER(FIND("B",UPPER(O36)))),O4,O4/2)))+IF(UPPER(P36)=UPPER(P5),P4,0)+IF(UPPER(Q36)=UPPER(Q5),Q4,0)+IF(UPPER(R36)=UPPER(R5),R4,0)+IF(UPPER(S36)=UPPER(S5),S4,0)+IF(UPPER(T36)=UPPER(T5),T4,0)+IF(U36="",0,IF(LEN(SUBSTITUTE(SUBSTITUTE(UPPER(U36),"A",""),"D",""))&gt;0,0,IF(AND(ISNUMBER(FIND("A",UPPER(U36))),ISNUMBER(FIND("D",UPPER(U36)))),U4,U4/2)))+IF(V36="",0,IF(LEN(SUBSTITUTE(SUBSTITUTE(UPPER(V36),"C",""),"D",""))&gt;0,0,IF(AND(ISNUMBER(FIND("C",UPPER(V36))),ISNUMBER(FIND("D",UPPER(V36)))),V4,V4/2)))+IF(UPPER(W36)=UPPER(W5),W4,0)+IF(UPPER(X36)=UPPER(X5),X4,0)+IF(UPPER(Y36)=UPPER(Y5),Y4,0)+IF(UPPER(Z36)=UPPER(Z5),Z4,0)+IF(AA36="",0,IF(LEN(SUBSTITUTE(SUBSTITUTE(UPPER(AA36),"C",""),"D",""))&gt;0,0,IF(AND(ISNUMBER(FIND("C",UPPER(AA36))),ISNUMBER(FIND("D",UPPER(AA36)))),AA4,AA4/2)))+IF(AB36="",0,IF(LEN(SUBSTITUTE(SUBSTITUTE(UPPER(AB36),"C",""),"D",""))&gt;0,0,IF(AND(ISNUMBER(FIND("C",UPPER(AB36))),ISNUMBER(FIND("D",UPPER(AB36)))),AB4,AB4/2)))+IF(UPPER(AC36)=UPPER(AC5),AC4,0)+IF(UPPER(AD36)=UPPER(AD5),AD4,0)+IF(UPPER(AE36)=UPPER(AE5),AE4,0)+IF(UPPER(AF36)=UPPER(AF5),AF4,0)+IF(UPPER(AG36)=UPPER(AG5),AG4,0)+IF(UPPER(AH36)=UPPER(AH5),AH4,0)+IF(AI36="",0,IF(LEN(SUBSTITUTE(SUBSTITUTE(UPPER(AI36),"A",""),"C",""))&gt;0,0,IF(AND(ISNUMBER(FIND("A",UPPER(AI36))),ISNUMBER(FIND("C",UPPER(AI36)))),AI4,AI4/2)))+IF(UPPER(AJ36)=UPPER(AJ5),AJ4,0)+IF(UPPER(AK36)=UPPER(AK5),AK4,0)+IF(UPPER(AL36)=UPPER(AL5),AL4,0)+IF(UPPER(AM36)=UPPER(AM5),AM4,0)+IF(AN36="",0,IF(LEN(SUBSTITUTE(SUBSTITUTE(UPPER(AN36),"A",""),"C",""))&gt;0,0,IF(AND(ISNUMBER(FIND("A",UPPER(AN36))),ISNUMBER(FIND("C",UPPER(AN36)))),AN4,AN4/2)))+IF(UPPER(AO36)=UPPER(AO5),AO4,0)+IF(UPPER(AP36)=UPPER(AP5),AP4,0)+IF(OR(UPPER(AQ36)="A",UPPER(AQ36)="B"),AQ4,0)+IF(AR36="",0,IF(LEN(SUBSTITUTE(SUBSTITUTE(UPPER(AR36),"A",""),"D",""))&gt;0,0,IF(AND(ISNUMBER(FIND("A",UPPER(AR36))),ISNUMBER(FIND("D",UPPER(AR36)))),AR4,AR4/2)))</f>
        <v>86.25</v>
      </c>
      <c r="E36" s="13" t="s">
        <v>60</v>
      </c>
      <c r="F36" s="13" t="s">
        <v>61</v>
      </c>
      <c r="G36" s="13" t="s">
        <v>62</v>
      </c>
      <c r="H36" s="13" t="s">
        <v>63</v>
      </c>
      <c r="I36" s="13" t="s">
        <v>60</v>
      </c>
      <c r="J36" s="13" t="s">
        <v>64</v>
      </c>
      <c r="K36" s="13" t="s">
        <v>65</v>
      </c>
      <c r="L36" s="13" t="s">
        <v>63</v>
      </c>
      <c r="M36" s="13" t="s">
        <v>61</v>
      </c>
      <c r="N36" s="13" t="s">
        <v>63</v>
      </c>
      <c r="O36" s="13" t="s">
        <v>66</v>
      </c>
      <c r="P36" s="13" t="s">
        <v>60</v>
      </c>
      <c r="Q36" s="13" t="s">
        <v>64</v>
      </c>
      <c r="R36" s="13" t="s">
        <v>61</v>
      </c>
      <c r="S36" s="13" t="s">
        <v>63</v>
      </c>
      <c r="T36" s="13" t="s">
        <v>64</v>
      </c>
      <c r="U36" s="13" t="s">
        <v>65</v>
      </c>
      <c r="V36" s="13" t="s">
        <v>73</v>
      </c>
      <c r="W36" s="13" t="s">
        <v>61</v>
      </c>
      <c r="X36" s="13" t="s">
        <v>63</v>
      </c>
      <c r="Y36" s="13" t="s">
        <v>60</v>
      </c>
      <c r="Z36" s="13" t="s">
        <v>63</v>
      </c>
      <c r="AA36" s="13" t="s">
        <v>74</v>
      </c>
      <c r="AB36" s="13" t="s">
        <v>62</v>
      </c>
      <c r="AC36" s="13" t="s">
        <v>60</v>
      </c>
      <c r="AD36" s="13" t="s">
        <v>64</v>
      </c>
      <c r="AE36" s="13" t="s">
        <v>60</v>
      </c>
      <c r="AF36" s="13" t="s">
        <v>61</v>
      </c>
      <c r="AG36" s="13" t="s">
        <v>64</v>
      </c>
      <c r="AH36" s="13" t="s">
        <v>63</v>
      </c>
      <c r="AI36" s="13" t="s">
        <v>73</v>
      </c>
      <c r="AJ36" s="13" t="s">
        <v>64</v>
      </c>
      <c r="AK36" s="13" t="s">
        <v>61</v>
      </c>
      <c r="AL36" s="13" t="s">
        <v>63</v>
      </c>
      <c r="AM36" s="13" t="s">
        <v>63</v>
      </c>
      <c r="AN36" s="13" t="s">
        <v>63</v>
      </c>
      <c r="AO36" s="13" t="s">
        <v>61</v>
      </c>
      <c r="AP36" s="13" t="s">
        <v>60</v>
      </c>
      <c r="AQ36" s="13" t="s">
        <v>63</v>
      </c>
      <c r="AR36" s="13" t="s">
        <v>67</v>
      </c>
    </row>
    <row r="37" ht="15.75" customHeight="1">
      <c r="A37" s="10">
        <v>2.023903694E9</v>
      </c>
      <c r="B37" s="10" t="s">
        <v>131</v>
      </c>
      <c r="C37" s="10" t="s">
        <v>132</v>
      </c>
      <c r="D37" s="12">
        <f>IF(OR(UPPER(E37)="A",UPPER(E37)="B"),E4,0)+IF(UPPER(F37)=UPPER(F5),F4,0)+IF(G37="",0,IF(LEN(SUBSTITUTE(SUBSTITUTE(UPPER(G37),"C",""),"D",""))&gt;0,0,IF(AND(ISNUMBER(FIND("C",UPPER(G37))),ISNUMBER(FIND("D",UPPER(G37)))),G4,G4/2)))+IF(UPPER(H37)=UPPER(H5),H4,0)+IF(UPPER(I37)=UPPER(I5),I4,0)+IF(UPPER(J37)=UPPER(J5),J4,0)+IF(K37="",0,IF(LEN(SUBSTITUTE(SUBSTITUTE(UPPER(K37),"A",""),"C",""))&gt;0,0,IF(AND(ISNUMBER(FIND("A",UPPER(K37))),ISNUMBER(FIND("C",UPPER(K37)))),K4,K4/2)))+IF(UPPER(L37)=UPPER(L5),L4,0)+IF(UPPER(M37)=UPPER(M5),M4,0)+IF(UPPER(N37)=UPPER(N5),N4,0)+IF(O37="",0,IF(LEN(SUBSTITUTE(SUBSTITUTE(UPPER(O37),"A",""),"B",""))&gt;0,0,IF(AND(ISNUMBER(FIND("A",UPPER(O37))),ISNUMBER(FIND("B",UPPER(O37)))),O4,O4/2)))+IF(UPPER(P37)=UPPER(P5),P4,0)+IF(UPPER(Q37)=UPPER(Q5),Q4,0)+IF(UPPER(R37)=UPPER(R5),R4,0)+IF(UPPER(S37)=UPPER(S5),S4,0)+IF(UPPER(T37)=UPPER(T5),T4,0)+IF(U37="",0,IF(LEN(SUBSTITUTE(SUBSTITUTE(UPPER(U37),"A",""),"D",""))&gt;0,0,IF(AND(ISNUMBER(FIND("A",UPPER(U37))),ISNUMBER(FIND("D",UPPER(U37)))),U4,U4/2)))+IF(V37="",0,IF(LEN(SUBSTITUTE(SUBSTITUTE(UPPER(V37),"C",""),"D",""))&gt;0,0,IF(AND(ISNUMBER(FIND("C",UPPER(V37))),ISNUMBER(FIND("D",UPPER(V37)))),V4,V4/2)))+IF(UPPER(W37)=UPPER(W5),W4,0)+IF(UPPER(X37)=UPPER(X5),X4,0)+IF(UPPER(Y37)=UPPER(Y5),Y4,0)+IF(UPPER(Z37)=UPPER(Z5),Z4,0)+IF(AA37="",0,IF(LEN(SUBSTITUTE(SUBSTITUTE(UPPER(AA37),"C",""),"D",""))&gt;0,0,IF(AND(ISNUMBER(FIND("C",UPPER(AA37))),ISNUMBER(FIND("D",UPPER(AA37)))),AA4,AA4/2)))+IF(AB37="",0,IF(LEN(SUBSTITUTE(SUBSTITUTE(UPPER(AB37),"C",""),"D",""))&gt;0,0,IF(AND(ISNUMBER(FIND("C",UPPER(AB37))),ISNUMBER(FIND("D",UPPER(AB37)))),AB4,AB4/2)))+IF(UPPER(AC37)=UPPER(AC5),AC4,0)+IF(UPPER(AD37)=UPPER(AD5),AD4,0)+IF(UPPER(AE37)=UPPER(AE5),AE4,0)+IF(UPPER(AF37)=UPPER(AF5),AF4,0)+IF(UPPER(AG37)=UPPER(AG5),AG4,0)+IF(UPPER(AH37)=UPPER(AH5),AH4,0)+IF(AI37="",0,IF(LEN(SUBSTITUTE(SUBSTITUTE(UPPER(AI37),"A",""),"C",""))&gt;0,0,IF(AND(ISNUMBER(FIND("A",UPPER(AI37))),ISNUMBER(FIND("C",UPPER(AI37)))),AI4,AI4/2)))+IF(UPPER(AJ37)=UPPER(AJ5),AJ4,0)+IF(UPPER(AK37)=UPPER(AK5),AK4,0)+IF(UPPER(AL37)=UPPER(AL5),AL4,0)+IF(UPPER(AM37)=UPPER(AM5),AM4,0)+IF(AN37="",0,IF(LEN(SUBSTITUTE(SUBSTITUTE(UPPER(AN37),"A",""),"C",""))&gt;0,0,IF(AND(ISNUMBER(FIND("A",UPPER(AN37))),ISNUMBER(FIND("C",UPPER(AN37)))),AN4,AN4/2)))+IF(UPPER(AO37)=UPPER(AO5),AO4,0)+IF(UPPER(AP37)=UPPER(AP5),AP4,0)+IF(OR(UPPER(AQ37)="A",UPPER(AQ37)="B"),AQ4,0)+IF(AR37="",0,IF(LEN(SUBSTITUTE(SUBSTITUTE(UPPER(AR37),"A",""),"D",""))&gt;0,0,IF(AND(ISNUMBER(FIND("A",UPPER(AR37))),ISNUMBER(FIND("D",UPPER(AR37)))),AR4,AR4/2)))</f>
        <v>97.5</v>
      </c>
      <c r="E37" s="13" t="s">
        <v>61</v>
      </c>
      <c r="F37" s="13" t="s">
        <v>61</v>
      </c>
      <c r="G37" s="13" t="s">
        <v>62</v>
      </c>
      <c r="H37" s="13" t="s">
        <v>63</v>
      </c>
      <c r="I37" s="13" t="s">
        <v>60</v>
      </c>
      <c r="J37" s="13" t="s">
        <v>64</v>
      </c>
      <c r="K37" s="13" t="s">
        <v>65</v>
      </c>
      <c r="L37" s="13" t="s">
        <v>63</v>
      </c>
      <c r="M37" s="13" t="s">
        <v>61</v>
      </c>
      <c r="N37" s="13" t="s">
        <v>63</v>
      </c>
      <c r="O37" s="13" t="s">
        <v>66</v>
      </c>
      <c r="P37" s="13" t="s">
        <v>60</v>
      </c>
      <c r="Q37" s="13" t="s">
        <v>64</v>
      </c>
      <c r="R37" s="13" t="s">
        <v>61</v>
      </c>
      <c r="S37" s="13" t="s">
        <v>63</v>
      </c>
      <c r="T37" s="13" t="s">
        <v>64</v>
      </c>
      <c r="U37" s="13" t="s">
        <v>67</v>
      </c>
      <c r="V37" s="13" t="s">
        <v>62</v>
      </c>
      <c r="W37" s="13" t="s">
        <v>61</v>
      </c>
      <c r="X37" s="13" t="s">
        <v>63</v>
      </c>
      <c r="Y37" s="13" t="s">
        <v>61</v>
      </c>
      <c r="Z37" s="13" t="s">
        <v>63</v>
      </c>
      <c r="AA37" s="13" t="s">
        <v>62</v>
      </c>
      <c r="AB37" s="13" t="s">
        <v>62</v>
      </c>
      <c r="AC37" s="13" t="s">
        <v>60</v>
      </c>
      <c r="AD37" s="13" t="s">
        <v>64</v>
      </c>
      <c r="AE37" s="13" t="s">
        <v>60</v>
      </c>
      <c r="AF37" s="13" t="s">
        <v>61</v>
      </c>
      <c r="AG37" s="13" t="s">
        <v>64</v>
      </c>
      <c r="AH37" s="13" t="s">
        <v>63</v>
      </c>
      <c r="AI37" s="13" t="s">
        <v>65</v>
      </c>
      <c r="AJ37" s="13" t="s">
        <v>64</v>
      </c>
      <c r="AK37" s="13" t="s">
        <v>61</v>
      </c>
      <c r="AL37" s="13" t="s">
        <v>63</v>
      </c>
      <c r="AM37" s="13" t="s">
        <v>63</v>
      </c>
      <c r="AN37" s="13" t="s">
        <v>65</v>
      </c>
      <c r="AO37" s="13" t="s">
        <v>61</v>
      </c>
      <c r="AP37" s="13" t="s">
        <v>60</v>
      </c>
      <c r="AQ37" s="13" t="s">
        <v>60</v>
      </c>
      <c r="AR37" s="13" t="s">
        <v>67</v>
      </c>
    </row>
    <row r="38" ht="15.75" customHeight="1">
      <c r="A38" s="10">
        <v>2.023903116E9</v>
      </c>
      <c r="B38" s="10" t="s">
        <v>133</v>
      </c>
      <c r="C38" s="10" t="s">
        <v>134</v>
      </c>
      <c r="D38" s="12">
        <f>IF(OR(UPPER(E38)="A",UPPER(E38)="B"),E4,0)+IF(UPPER(F38)=UPPER(F5),F4,0)+IF(G38="",0,IF(LEN(SUBSTITUTE(SUBSTITUTE(UPPER(G38),"C",""),"D",""))&gt;0,0,IF(AND(ISNUMBER(FIND("C",UPPER(G38))),ISNUMBER(FIND("D",UPPER(G38)))),G4,G4/2)))+IF(UPPER(H38)=UPPER(H5),H4,0)+IF(UPPER(I38)=UPPER(I5),I4,0)+IF(UPPER(J38)=UPPER(J5),J4,0)+IF(K38="",0,IF(LEN(SUBSTITUTE(SUBSTITUTE(UPPER(K38),"A",""),"C",""))&gt;0,0,IF(AND(ISNUMBER(FIND("A",UPPER(K38))),ISNUMBER(FIND("C",UPPER(K38)))),K4,K4/2)))+IF(UPPER(L38)=UPPER(L5),L4,0)+IF(UPPER(M38)=UPPER(M5),M4,0)+IF(UPPER(N38)=UPPER(N5),N4,0)+IF(O38="",0,IF(LEN(SUBSTITUTE(SUBSTITUTE(UPPER(O38),"A",""),"B",""))&gt;0,0,IF(AND(ISNUMBER(FIND("A",UPPER(O38))),ISNUMBER(FIND("B",UPPER(O38)))),O4,O4/2)))+IF(UPPER(P38)=UPPER(P5),P4,0)+IF(UPPER(Q38)=UPPER(Q5),Q4,0)+IF(UPPER(R38)=UPPER(R5),R4,0)+IF(UPPER(S38)=UPPER(S5),S4,0)+IF(UPPER(T38)=UPPER(T5),T4,0)+IF(U38="",0,IF(LEN(SUBSTITUTE(SUBSTITUTE(UPPER(U38),"A",""),"D",""))&gt;0,0,IF(AND(ISNUMBER(FIND("A",UPPER(U38))),ISNUMBER(FIND("D",UPPER(U38)))),U4,U4/2)))+IF(V38="",0,IF(LEN(SUBSTITUTE(SUBSTITUTE(UPPER(V38),"C",""),"D",""))&gt;0,0,IF(AND(ISNUMBER(FIND("C",UPPER(V38))),ISNUMBER(FIND("D",UPPER(V38)))),V4,V4/2)))+IF(UPPER(W38)=UPPER(W5),W4,0)+IF(UPPER(X38)=UPPER(X5),X4,0)+IF(UPPER(Y38)=UPPER(Y5),Y4,0)+IF(UPPER(Z38)=UPPER(Z5),Z4,0)+IF(AA38="",0,IF(LEN(SUBSTITUTE(SUBSTITUTE(UPPER(AA38),"C",""),"D",""))&gt;0,0,IF(AND(ISNUMBER(FIND("C",UPPER(AA38))),ISNUMBER(FIND("D",UPPER(AA38)))),AA4,AA4/2)))+IF(AB38="",0,IF(LEN(SUBSTITUTE(SUBSTITUTE(UPPER(AB38),"C",""),"D",""))&gt;0,0,IF(AND(ISNUMBER(FIND("C",UPPER(AB38))),ISNUMBER(FIND("D",UPPER(AB38)))),AB4,AB4/2)))+IF(UPPER(AC38)=UPPER(AC5),AC4,0)+IF(UPPER(AD38)=UPPER(AD5),AD4,0)+IF(UPPER(AE38)=UPPER(AE5),AE4,0)+IF(UPPER(AF38)=UPPER(AF5),AF4,0)+IF(UPPER(AG38)=UPPER(AG5),AG4,0)+IF(UPPER(AH38)=UPPER(AH5),AH4,0)+IF(AI38="",0,IF(LEN(SUBSTITUTE(SUBSTITUTE(UPPER(AI38),"A",""),"C",""))&gt;0,0,IF(AND(ISNUMBER(FIND("A",UPPER(AI38))),ISNUMBER(FIND("C",UPPER(AI38)))),AI4,AI4/2)))+IF(UPPER(AJ38)=UPPER(AJ5),AJ4,0)+IF(UPPER(AK38)=UPPER(AK5),AK4,0)+IF(UPPER(AL38)=UPPER(AL5),AL4,0)+IF(UPPER(AM38)=UPPER(AM5),AM4,0)+IF(AN38="",0,IF(LEN(SUBSTITUTE(SUBSTITUTE(UPPER(AN38),"A",""),"C",""))&gt;0,0,IF(AND(ISNUMBER(FIND("A",UPPER(AN38))),ISNUMBER(FIND("C",UPPER(AN38)))),AN4,AN4/2)))+IF(UPPER(AO38)=UPPER(AO5),AO4,0)+IF(UPPER(AP38)=UPPER(AP5),AP4,0)+IF(OR(UPPER(AQ38)="A",UPPER(AQ38)="B"),AQ4,0)+IF(AR38="",0,IF(LEN(SUBSTITUTE(SUBSTITUTE(UPPER(AR38),"A",""),"D",""))&gt;0,0,IF(AND(ISNUMBER(FIND("A",UPPER(AR38))),ISNUMBER(FIND("D",UPPER(AR38)))),AR4,AR4/2)))</f>
        <v>97.5</v>
      </c>
      <c r="E38" s="13" t="s">
        <v>60</v>
      </c>
      <c r="F38" s="13" t="s">
        <v>61</v>
      </c>
      <c r="G38" s="13" t="s">
        <v>62</v>
      </c>
      <c r="H38" s="13" t="s">
        <v>63</v>
      </c>
      <c r="I38" s="13" t="s">
        <v>60</v>
      </c>
      <c r="J38" s="13" t="s">
        <v>64</v>
      </c>
      <c r="K38" s="13" t="s">
        <v>65</v>
      </c>
      <c r="L38" s="13" t="s">
        <v>63</v>
      </c>
      <c r="M38" s="13" t="s">
        <v>61</v>
      </c>
      <c r="N38" s="13" t="s">
        <v>63</v>
      </c>
      <c r="O38" s="13" t="s">
        <v>66</v>
      </c>
      <c r="P38" s="13" t="s">
        <v>60</v>
      </c>
      <c r="Q38" s="13" t="s">
        <v>64</v>
      </c>
      <c r="R38" s="13" t="s">
        <v>61</v>
      </c>
      <c r="S38" s="13" t="s">
        <v>63</v>
      </c>
      <c r="T38" s="13" t="s">
        <v>64</v>
      </c>
      <c r="U38" s="13" t="s">
        <v>67</v>
      </c>
      <c r="V38" s="13" t="s">
        <v>62</v>
      </c>
      <c r="W38" s="13" t="s">
        <v>61</v>
      </c>
      <c r="X38" s="13" t="s">
        <v>63</v>
      </c>
      <c r="Y38" s="13" t="s">
        <v>60</v>
      </c>
      <c r="Z38" s="13" t="s">
        <v>63</v>
      </c>
      <c r="AA38" s="13" t="s">
        <v>61</v>
      </c>
      <c r="AB38" s="13" t="s">
        <v>62</v>
      </c>
      <c r="AC38" s="13" t="s">
        <v>60</v>
      </c>
      <c r="AD38" s="13" t="s">
        <v>64</v>
      </c>
      <c r="AE38" s="13" t="s">
        <v>60</v>
      </c>
      <c r="AF38" s="13" t="s">
        <v>61</v>
      </c>
      <c r="AG38" s="13" t="s">
        <v>64</v>
      </c>
      <c r="AH38" s="13" t="s">
        <v>63</v>
      </c>
      <c r="AI38" s="13" t="s">
        <v>65</v>
      </c>
      <c r="AJ38" s="13" t="s">
        <v>64</v>
      </c>
      <c r="AK38" s="13" t="s">
        <v>61</v>
      </c>
      <c r="AL38" s="13" t="s">
        <v>63</v>
      </c>
      <c r="AM38" s="13" t="s">
        <v>63</v>
      </c>
      <c r="AN38" s="13" t="s">
        <v>65</v>
      </c>
      <c r="AO38" s="13" t="s">
        <v>61</v>
      </c>
      <c r="AP38" s="13" t="s">
        <v>60</v>
      </c>
      <c r="AQ38" s="13" t="s">
        <v>60</v>
      </c>
      <c r="AR38" s="13" t="s">
        <v>67</v>
      </c>
    </row>
    <row r="39" ht="15.75" customHeight="1">
      <c r="A39" s="10">
        <v>2.02390533E9</v>
      </c>
      <c r="B39" s="10" t="s">
        <v>135</v>
      </c>
      <c r="C39" s="10" t="s">
        <v>136</v>
      </c>
      <c r="D39" s="12">
        <f>IF(OR(UPPER(E39)="A",UPPER(E39)="B"),E4,0)+IF(UPPER(F39)=UPPER(F5),F4,0)+IF(G39="",0,IF(LEN(SUBSTITUTE(SUBSTITUTE(UPPER(G39),"C",""),"D",""))&gt;0,0,IF(AND(ISNUMBER(FIND("C",UPPER(G39))),ISNUMBER(FIND("D",UPPER(G39)))),G4,G4/2)))+IF(UPPER(H39)=UPPER(H5),H4,0)+IF(UPPER(I39)=UPPER(I5),I4,0)+IF(UPPER(J39)=UPPER(J5),J4,0)+IF(K39="",0,IF(LEN(SUBSTITUTE(SUBSTITUTE(UPPER(K39),"A",""),"C",""))&gt;0,0,IF(AND(ISNUMBER(FIND("A",UPPER(K39))),ISNUMBER(FIND("C",UPPER(K39)))),K4,K4/2)))+IF(UPPER(L39)=UPPER(L5),L4,0)+IF(UPPER(M39)=UPPER(M5),M4,0)+IF(UPPER(N39)=UPPER(N5),N4,0)+IF(O39="",0,IF(LEN(SUBSTITUTE(SUBSTITUTE(UPPER(O39),"A",""),"B",""))&gt;0,0,IF(AND(ISNUMBER(FIND("A",UPPER(O39))),ISNUMBER(FIND("B",UPPER(O39)))),O4,O4/2)))+IF(UPPER(P39)=UPPER(P5),P4,0)+IF(UPPER(Q39)=UPPER(Q5),Q4,0)+IF(UPPER(R39)=UPPER(R5),R4,0)+IF(UPPER(S39)=UPPER(S5),S4,0)+IF(UPPER(T39)=UPPER(T5),T4,0)+IF(U39="",0,IF(LEN(SUBSTITUTE(SUBSTITUTE(UPPER(U39),"A",""),"D",""))&gt;0,0,IF(AND(ISNUMBER(FIND("A",UPPER(U39))),ISNUMBER(FIND("D",UPPER(U39)))),U4,U4/2)))+IF(V39="",0,IF(LEN(SUBSTITUTE(SUBSTITUTE(UPPER(V39),"C",""),"D",""))&gt;0,0,IF(AND(ISNUMBER(FIND("C",UPPER(V39))),ISNUMBER(FIND("D",UPPER(V39)))),V4,V4/2)))+IF(UPPER(W39)=UPPER(W5),W4,0)+IF(UPPER(X39)=UPPER(X5),X4,0)+IF(UPPER(Y39)=UPPER(Y5),Y4,0)+IF(UPPER(Z39)=UPPER(Z5),Z4,0)+IF(AA39="",0,IF(LEN(SUBSTITUTE(SUBSTITUTE(UPPER(AA39),"C",""),"D",""))&gt;0,0,IF(AND(ISNUMBER(FIND("C",UPPER(AA39))),ISNUMBER(FIND("D",UPPER(AA39)))),AA4,AA4/2)))+IF(AB39="",0,IF(LEN(SUBSTITUTE(SUBSTITUTE(UPPER(AB39),"C",""),"D",""))&gt;0,0,IF(AND(ISNUMBER(FIND("C",UPPER(AB39))),ISNUMBER(FIND("D",UPPER(AB39)))),AB4,AB4/2)))+IF(UPPER(AC39)=UPPER(AC5),AC4,0)+IF(UPPER(AD39)=UPPER(AD5),AD4,0)+IF(UPPER(AE39)=UPPER(AE5),AE4,0)+IF(UPPER(AF39)=UPPER(AF5),AF4,0)+IF(UPPER(AG39)=UPPER(AG5),AG4,0)+IF(UPPER(AH39)=UPPER(AH5),AH4,0)+IF(AI39="",0,IF(LEN(SUBSTITUTE(SUBSTITUTE(UPPER(AI39),"A",""),"C",""))&gt;0,0,IF(AND(ISNUMBER(FIND("A",UPPER(AI39))),ISNUMBER(FIND("C",UPPER(AI39)))),AI4,AI4/2)))+IF(UPPER(AJ39)=UPPER(AJ5),AJ4,0)+IF(UPPER(AK39)=UPPER(AK5),AK4,0)+IF(UPPER(AL39)=UPPER(AL5),AL4,0)+IF(UPPER(AM39)=UPPER(AM5),AM4,0)+IF(AN39="",0,IF(LEN(SUBSTITUTE(SUBSTITUTE(UPPER(AN39),"A",""),"C",""))&gt;0,0,IF(AND(ISNUMBER(FIND("A",UPPER(AN39))),ISNUMBER(FIND("C",UPPER(AN39)))),AN4,AN4/2)))+IF(UPPER(AO39)=UPPER(AO5),AO4,0)+IF(UPPER(AP39)=UPPER(AP5),AP4,0)+IF(OR(UPPER(AQ39)="A",UPPER(AQ39)="B"),AQ4,0)+IF(AR39="",0,IF(LEN(SUBSTITUTE(SUBSTITUTE(UPPER(AR39),"A",""),"D",""))&gt;0,0,IF(AND(ISNUMBER(FIND("A",UPPER(AR39))),ISNUMBER(FIND("D",UPPER(AR39)))),AR4,AR4/2)))</f>
        <v>92.5</v>
      </c>
      <c r="E39" s="13" t="s">
        <v>61</v>
      </c>
      <c r="F39" s="13" t="s">
        <v>61</v>
      </c>
      <c r="G39" s="13" t="s">
        <v>62</v>
      </c>
      <c r="H39" s="13" t="s">
        <v>63</v>
      </c>
      <c r="I39" s="13" t="s">
        <v>60</v>
      </c>
      <c r="J39" s="13" t="s">
        <v>64</v>
      </c>
      <c r="K39" s="13" t="s">
        <v>65</v>
      </c>
      <c r="L39" s="13" t="s">
        <v>63</v>
      </c>
      <c r="M39" s="13" t="s">
        <v>61</v>
      </c>
      <c r="N39" s="13" t="s">
        <v>63</v>
      </c>
      <c r="O39" s="13" t="s">
        <v>66</v>
      </c>
      <c r="P39" s="13" t="s">
        <v>60</v>
      </c>
      <c r="Q39" s="13" t="s">
        <v>64</v>
      </c>
      <c r="R39" s="13" t="s">
        <v>61</v>
      </c>
      <c r="S39" s="13" t="s">
        <v>63</v>
      </c>
      <c r="T39" s="13" t="s">
        <v>64</v>
      </c>
      <c r="U39" s="13" t="s">
        <v>65</v>
      </c>
      <c r="V39" s="13" t="s">
        <v>66</v>
      </c>
      <c r="W39" s="13" t="s">
        <v>61</v>
      </c>
      <c r="X39" s="13" t="s">
        <v>63</v>
      </c>
      <c r="Y39" s="13" t="s">
        <v>60</v>
      </c>
      <c r="Z39" s="13" t="s">
        <v>63</v>
      </c>
      <c r="AA39" s="13" t="s">
        <v>74</v>
      </c>
      <c r="AB39" s="13" t="s">
        <v>62</v>
      </c>
      <c r="AC39" s="13" t="s">
        <v>60</v>
      </c>
      <c r="AD39" s="13" t="s">
        <v>64</v>
      </c>
      <c r="AE39" s="13" t="s">
        <v>60</v>
      </c>
      <c r="AF39" s="13" t="s">
        <v>61</v>
      </c>
      <c r="AG39" s="13" t="s">
        <v>64</v>
      </c>
      <c r="AH39" s="13" t="s">
        <v>63</v>
      </c>
      <c r="AI39" s="13" t="s">
        <v>65</v>
      </c>
      <c r="AJ39" s="13" t="s">
        <v>64</v>
      </c>
      <c r="AK39" s="13" t="s">
        <v>61</v>
      </c>
      <c r="AL39" s="13" t="s">
        <v>63</v>
      </c>
      <c r="AM39" s="13" t="s">
        <v>63</v>
      </c>
      <c r="AN39" s="13" t="s">
        <v>65</v>
      </c>
      <c r="AO39" s="13" t="s">
        <v>61</v>
      </c>
      <c r="AP39" s="13" t="s">
        <v>60</v>
      </c>
      <c r="AQ39" s="13" t="s">
        <v>60</v>
      </c>
      <c r="AR39" s="13" t="s">
        <v>67</v>
      </c>
    </row>
    <row r="40" ht="15.75" customHeight="1">
      <c r="A40" s="15">
        <v>2.023905493E9</v>
      </c>
      <c r="B40" s="15" t="s">
        <v>137</v>
      </c>
      <c r="C40" s="10" t="s">
        <v>138</v>
      </c>
      <c r="D40" s="12">
        <f>IF(OR(UPPER(E40)="A",UPPER(E40)="B"),E4,0)+IF(UPPER(F40)=UPPER(F5),F4,0)+IF(G40="",0,IF(LEN(SUBSTITUTE(SUBSTITUTE(UPPER(G40),"C",""),"D",""))&gt;0,0,IF(AND(ISNUMBER(FIND("C",UPPER(G40))),ISNUMBER(FIND("D",UPPER(G40)))),G4,G4/2)))+IF(UPPER(H40)=UPPER(H5),H4,0)+IF(UPPER(I40)=UPPER(I5),I4,0)+IF(UPPER(J40)=UPPER(J5),J4,0)+IF(K40="",0,IF(LEN(SUBSTITUTE(SUBSTITUTE(UPPER(K40),"A",""),"C",""))&gt;0,0,IF(AND(ISNUMBER(FIND("A",UPPER(K40))),ISNUMBER(FIND("C",UPPER(K40)))),K4,K4/2)))+IF(UPPER(L40)=UPPER(L5),L4,0)+IF(UPPER(M40)=UPPER(M5),M4,0)+IF(UPPER(N40)=UPPER(N5),N4,0)+IF(O40="",0,IF(LEN(SUBSTITUTE(SUBSTITUTE(UPPER(O40),"A",""),"B",""))&gt;0,0,IF(AND(ISNUMBER(FIND("A",UPPER(O40))),ISNUMBER(FIND("B",UPPER(O40)))),O4,O4/2)))+IF(UPPER(P40)=UPPER(P5),P4,0)+IF(UPPER(Q40)=UPPER(Q5),Q4,0)+IF(UPPER(R40)=UPPER(R5),R4,0)+IF(UPPER(S40)=UPPER(S5),S4,0)+IF(UPPER(T40)=UPPER(T5),T4,0)+IF(U40="",0,IF(LEN(SUBSTITUTE(SUBSTITUTE(UPPER(U40),"A",""),"D",""))&gt;0,0,IF(AND(ISNUMBER(FIND("A",UPPER(U40))),ISNUMBER(FIND("D",UPPER(U40)))),U4,U4/2)))+IF(V40="",0,IF(LEN(SUBSTITUTE(SUBSTITUTE(UPPER(V40),"C",""),"D",""))&gt;0,0,IF(AND(ISNUMBER(FIND("C",UPPER(V40))),ISNUMBER(FIND("D",UPPER(V40)))),V4,V4/2)))+IF(UPPER(W40)=UPPER(W5),W4,0)+IF(UPPER(X40)=UPPER(X5),X4,0)+IF(UPPER(Y40)=UPPER(Y5),Y4,0)+IF(UPPER(Z40)=UPPER(Z5),Z4,0)+IF(AA40="",0,IF(LEN(SUBSTITUTE(SUBSTITUTE(UPPER(AA40),"C",""),"D",""))&gt;0,0,IF(AND(ISNUMBER(FIND("C",UPPER(AA40))),ISNUMBER(FIND("D",UPPER(AA40)))),AA4,AA4/2)))+IF(AB40="",0,IF(LEN(SUBSTITUTE(SUBSTITUTE(UPPER(AB40),"C",""),"D",""))&gt;0,0,IF(AND(ISNUMBER(FIND("C",UPPER(AB40))),ISNUMBER(FIND("D",UPPER(AB40)))),AB4,AB4/2)))+IF(UPPER(AC40)=UPPER(AC5),AC4,0)+IF(UPPER(AD40)=UPPER(AD5),AD4,0)+IF(UPPER(AE40)=UPPER(AE5),AE4,0)+IF(UPPER(AF40)=UPPER(AF5),AF4,0)+IF(UPPER(AG40)=UPPER(AG5),AG4,0)+IF(UPPER(AH40)=UPPER(AH5),AH4,0)+IF(AI40="",0,IF(LEN(SUBSTITUTE(SUBSTITUTE(UPPER(AI40),"A",""),"C",""))&gt;0,0,IF(AND(ISNUMBER(FIND("A",UPPER(AI40))),ISNUMBER(FIND("C",UPPER(AI40)))),AI4,AI4/2)))+IF(UPPER(AJ40)=UPPER(AJ5),AJ4,0)+IF(UPPER(AK40)=UPPER(AK5),AK4,0)+IF(UPPER(AL40)=UPPER(AL5),AL4,0)+IF(UPPER(AM40)=UPPER(AM5),AM4,0)+IF(AN40="",0,IF(LEN(SUBSTITUTE(SUBSTITUTE(UPPER(AN40),"A",""),"C",""))&gt;0,0,IF(AND(ISNUMBER(FIND("A",UPPER(AN40))),ISNUMBER(FIND("C",UPPER(AN40)))),AN4,AN4/2)))+IF(UPPER(AO40)=UPPER(AO5),AO4,0)+IF(UPPER(AP40)=UPPER(AP5),AP4,0)+IF(OR(UPPER(AQ40)="A",UPPER(AQ40)="B"),AQ4,0)+IF(AR40="",0,IF(LEN(SUBSTITUTE(SUBSTITUTE(UPPER(AR40),"A",""),"D",""))&gt;0,0,IF(AND(ISNUMBER(FIND("A",UPPER(AR40))),ISNUMBER(FIND("D",UPPER(AR40)))),AR4,AR4/2)))</f>
        <v>66.25</v>
      </c>
      <c r="E40" s="13" t="s">
        <v>64</v>
      </c>
      <c r="F40" s="13" t="s">
        <v>61</v>
      </c>
      <c r="G40" s="13" t="s">
        <v>139</v>
      </c>
      <c r="H40" s="13" t="s">
        <v>139</v>
      </c>
      <c r="I40" s="13" t="s">
        <v>60</v>
      </c>
      <c r="J40" s="13" t="s">
        <v>60</v>
      </c>
      <c r="K40" s="13" t="s">
        <v>61</v>
      </c>
      <c r="L40" s="13" t="s">
        <v>63</v>
      </c>
      <c r="M40" s="13" t="s">
        <v>61</v>
      </c>
      <c r="N40" s="13" t="s">
        <v>63</v>
      </c>
      <c r="O40" s="13" t="s">
        <v>65</v>
      </c>
      <c r="P40" s="13" t="s">
        <v>60</v>
      </c>
      <c r="Q40" s="13" t="s">
        <v>63</v>
      </c>
      <c r="R40" s="13" t="s">
        <v>61</v>
      </c>
      <c r="S40" s="13" t="s">
        <v>60</v>
      </c>
      <c r="T40" s="13" t="s">
        <v>63</v>
      </c>
      <c r="U40" s="13" t="s">
        <v>67</v>
      </c>
      <c r="V40" s="13" t="s">
        <v>62</v>
      </c>
      <c r="W40" s="13" t="s">
        <v>61</v>
      </c>
      <c r="X40" s="13" t="s">
        <v>63</v>
      </c>
      <c r="Y40" s="13" t="s">
        <v>61</v>
      </c>
      <c r="Z40" s="13" t="s">
        <v>60</v>
      </c>
      <c r="AA40" s="13" t="s">
        <v>62</v>
      </c>
      <c r="AB40" s="13" t="s">
        <v>67</v>
      </c>
      <c r="AC40" s="13" t="s">
        <v>60</v>
      </c>
      <c r="AD40" s="13" t="s">
        <v>64</v>
      </c>
      <c r="AE40" s="13" t="s">
        <v>60</v>
      </c>
      <c r="AF40" s="13" t="s">
        <v>60</v>
      </c>
      <c r="AG40" s="13" t="s">
        <v>63</v>
      </c>
      <c r="AH40" s="13" t="s">
        <v>63</v>
      </c>
      <c r="AI40" s="13" t="s">
        <v>65</v>
      </c>
      <c r="AJ40" s="13" t="s">
        <v>64</v>
      </c>
      <c r="AK40" s="13" t="s">
        <v>61</v>
      </c>
      <c r="AL40" s="13" t="s">
        <v>63</v>
      </c>
      <c r="AM40" s="13" t="s">
        <v>63</v>
      </c>
      <c r="AN40" s="13" t="s">
        <v>65</v>
      </c>
      <c r="AO40" s="13" t="s">
        <v>61</v>
      </c>
      <c r="AP40" s="13" t="s">
        <v>60</v>
      </c>
      <c r="AQ40" s="13" t="s">
        <v>60</v>
      </c>
      <c r="AR40" s="13" t="s">
        <v>67</v>
      </c>
    </row>
    <row r="41" ht="15.75" customHeight="1">
      <c r="A41" s="10">
        <v>2.023902044E9</v>
      </c>
      <c r="B41" s="10" t="s">
        <v>140</v>
      </c>
      <c r="C41" s="10" t="s">
        <v>141</v>
      </c>
      <c r="D41" s="12">
        <f>IF(OR(UPPER(E41)="A",UPPER(E41)="B"),E4,0)+IF(UPPER(F41)=UPPER(F5),F4,0)+IF(G41="",0,IF(LEN(SUBSTITUTE(SUBSTITUTE(UPPER(G41),"C",""),"D",""))&gt;0,0,IF(AND(ISNUMBER(FIND("C",UPPER(G41))),ISNUMBER(FIND("D",UPPER(G41)))),G4,G4/2)))+IF(UPPER(H41)=UPPER(H5),H4,0)+IF(UPPER(I41)=UPPER(I5),I4,0)+IF(UPPER(J41)=UPPER(J5),J4,0)+IF(K41="",0,IF(LEN(SUBSTITUTE(SUBSTITUTE(UPPER(K41),"A",""),"C",""))&gt;0,0,IF(AND(ISNUMBER(FIND("A",UPPER(K41))),ISNUMBER(FIND("C",UPPER(K41)))),K4,K4/2)))+IF(UPPER(L41)=UPPER(L5),L4,0)+IF(UPPER(M41)=UPPER(M5),M4,0)+IF(UPPER(N41)=UPPER(N5),N4,0)+IF(O41="",0,IF(LEN(SUBSTITUTE(SUBSTITUTE(UPPER(O41),"A",""),"B",""))&gt;0,0,IF(AND(ISNUMBER(FIND("A",UPPER(O41))),ISNUMBER(FIND("B",UPPER(O41)))),O4,O4/2)))+IF(UPPER(P41)=UPPER(P5),P4,0)+IF(UPPER(Q41)=UPPER(Q5),Q4,0)+IF(UPPER(R41)=UPPER(R5),R4,0)+IF(UPPER(S41)=UPPER(S5),S4,0)+IF(UPPER(T41)=UPPER(T5),T4,0)+IF(U41="",0,IF(LEN(SUBSTITUTE(SUBSTITUTE(UPPER(U41),"A",""),"D",""))&gt;0,0,IF(AND(ISNUMBER(FIND("A",UPPER(U41))),ISNUMBER(FIND("D",UPPER(U41)))),U4,U4/2)))+IF(V41="",0,IF(LEN(SUBSTITUTE(SUBSTITUTE(UPPER(V41),"C",""),"D",""))&gt;0,0,IF(AND(ISNUMBER(FIND("C",UPPER(V41))),ISNUMBER(FIND("D",UPPER(V41)))),V4,V4/2)))+IF(UPPER(W41)=UPPER(W5),W4,0)+IF(UPPER(X41)=UPPER(X5),X4,0)+IF(UPPER(Y41)=UPPER(Y5),Y4,0)+IF(UPPER(Z41)=UPPER(Z5),Z4,0)+IF(AA41="",0,IF(LEN(SUBSTITUTE(SUBSTITUTE(UPPER(AA41),"C",""),"D",""))&gt;0,0,IF(AND(ISNUMBER(FIND("C",UPPER(AA41))),ISNUMBER(FIND("D",UPPER(AA41)))),AA4,AA4/2)))+IF(AB41="",0,IF(LEN(SUBSTITUTE(SUBSTITUTE(UPPER(AB41),"C",""),"D",""))&gt;0,0,IF(AND(ISNUMBER(FIND("C",UPPER(AB41))),ISNUMBER(FIND("D",UPPER(AB41)))),AB4,AB4/2)))+IF(UPPER(AC41)=UPPER(AC5),AC4,0)+IF(UPPER(AD41)=UPPER(AD5),AD4,0)+IF(UPPER(AE41)=UPPER(AE5),AE4,0)+IF(UPPER(AF41)=UPPER(AF5),AF4,0)+IF(UPPER(AG41)=UPPER(AG5),AG4,0)+IF(UPPER(AH41)=UPPER(AH5),AH4,0)+IF(AI41="",0,IF(LEN(SUBSTITUTE(SUBSTITUTE(UPPER(AI41),"A",""),"C",""))&gt;0,0,IF(AND(ISNUMBER(FIND("A",UPPER(AI41))),ISNUMBER(FIND("C",UPPER(AI41)))),AI4,AI4/2)))+IF(UPPER(AJ41)=UPPER(AJ5),AJ4,0)+IF(UPPER(AK41)=UPPER(AK5),AK4,0)+IF(UPPER(AL41)=UPPER(AL5),AL4,0)+IF(UPPER(AM41)=UPPER(AM5),AM4,0)+IF(AN41="",0,IF(LEN(SUBSTITUTE(SUBSTITUTE(UPPER(AN41),"A",""),"C",""))&gt;0,0,IF(AND(ISNUMBER(FIND("A",UPPER(AN41))),ISNUMBER(FIND("C",UPPER(AN41)))),AN4,AN4/2)))+IF(UPPER(AO41)=UPPER(AO5),AO4,0)+IF(UPPER(AP41)=UPPER(AP5),AP4,0)+IF(OR(UPPER(AQ41)="A",UPPER(AQ41)="B"),AQ4,0)+IF(AR41="",0,IF(LEN(SUBSTITUTE(SUBSTITUTE(UPPER(AR41),"A",""),"D",""))&gt;0,0,IF(AND(ISNUMBER(FIND("A",UPPER(AR41))),ISNUMBER(FIND("D",UPPER(AR41)))),AR4,AR4/2)))</f>
        <v>77.5</v>
      </c>
      <c r="E41" s="13" t="s">
        <v>60</v>
      </c>
      <c r="F41" s="13" t="s">
        <v>60</v>
      </c>
      <c r="G41" s="13" t="s">
        <v>125</v>
      </c>
      <c r="H41" s="13" t="s">
        <v>63</v>
      </c>
      <c r="I41" s="13" t="s">
        <v>60</v>
      </c>
      <c r="J41" s="13" t="s">
        <v>64</v>
      </c>
      <c r="K41" s="13" t="s">
        <v>70</v>
      </c>
      <c r="L41" s="13" t="s">
        <v>63</v>
      </c>
      <c r="M41" s="13" t="s">
        <v>61</v>
      </c>
      <c r="N41" s="13" t="s">
        <v>63</v>
      </c>
      <c r="O41" s="13" t="s">
        <v>60</v>
      </c>
      <c r="P41" s="13" t="s">
        <v>60</v>
      </c>
      <c r="Q41" s="13" t="s">
        <v>64</v>
      </c>
      <c r="R41" s="13" t="s">
        <v>61</v>
      </c>
      <c r="S41" s="13" t="s">
        <v>61</v>
      </c>
      <c r="T41" s="13" t="s">
        <v>64</v>
      </c>
      <c r="U41" s="13" t="s">
        <v>126</v>
      </c>
      <c r="V41" s="13" t="s">
        <v>62</v>
      </c>
      <c r="W41" s="13" t="s">
        <v>61</v>
      </c>
      <c r="X41" s="13" t="s">
        <v>63</v>
      </c>
      <c r="Y41" s="13" t="s">
        <v>60</v>
      </c>
      <c r="Z41" s="13" t="s">
        <v>63</v>
      </c>
      <c r="AA41" s="13" t="s">
        <v>73</v>
      </c>
      <c r="AB41" s="13" t="s">
        <v>142</v>
      </c>
      <c r="AC41" s="13" t="s">
        <v>60</v>
      </c>
      <c r="AD41" s="13" t="s">
        <v>64</v>
      </c>
      <c r="AE41" s="13" t="s">
        <v>60</v>
      </c>
      <c r="AF41" s="13" t="s">
        <v>61</v>
      </c>
      <c r="AG41" s="13" t="s">
        <v>64</v>
      </c>
      <c r="AH41" s="13" t="s">
        <v>63</v>
      </c>
      <c r="AI41" s="13" t="s">
        <v>66</v>
      </c>
      <c r="AJ41" s="13" t="s">
        <v>64</v>
      </c>
      <c r="AK41" s="13" t="s">
        <v>61</v>
      </c>
      <c r="AL41" s="13" t="s">
        <v>63</v>
      </c>
      <c r="AM41" s="13" t="s">
        <v>63</v>
      </c>
      <c r="AN41" s="13" t="s">
        <v>63</v>
      </c>
      <c r="AO41" s="13" t="s">
        <v>61</v>
      </c>
      <c r="AP41" s="13" t="s">
        <v>60</v>
      </c>
      <c r="AQ41" s="13" t="s">
        <v>60</v>
      </c>
      <c r="AR41" s="13" t="s">
        <v>67</v>
      </c>
    </row>
    <row r="42" ht="15.75" customHeight="1">
      <c r="A42" s="10">
        <v>2.023903692E9</v>
      </c>
      <c r="B42" s="10" t="s">
        <v>143</v>
      </c>
      <c r="C42" s="10" t="s">
        <v>144</v>
      </c>
      <c r="D42" s="12">
        <f>IF(OR(UPPER(E42)="A",UPPER(E42)="B"),E4,0)+IF(UPPER(F42)=UPPER(F5),F4,0)+IF(G42="",0,IF(LEN(SUBSTITUTE(SUBSTITUTE(UPPER(G42),"C",""),"D",""))&gt;0,0,IF(AND(ISNUMBER(FIND("C",UPPER(G42))),ISNUMBER(FIND("D",UPPER(G42)))),G4,G4/2)))+IF(UPPER(H42)=UPPER(H5),H4,0)+IF(UPPER(I42)=UPPER(I5),I4,0)+IF(UPPER(J42)=UPPER(J5),J4,0)+IF(K42="",0,IF(LEN(SUBSTITUTE(SUBSTITUTE(UPPER(K42),"A",""),"C",""))&gt;0,0,IF(AND(ISNUMBER(FIND("A",UPPER(K42))),ISNUMBER(FIND("C",UPPER(K42)))),K4,K4/2)))+IF(UPPER(L42)=UPPER(L5),L4,0)+IF(UPPER(M42)=UPPER(M5),M4,0)+IF(UPPER(N42)=UPPER(N5),N4,0)+IF(O42="",0,IF(LEN(SUBSTITUTE(SUBSTITUTE(UPPER(O42),"A",""),"B",""))&gt;0,0,IF(AND(ISNUMBER(FIND("A",UPPER(O42))),ISNUMBER(FIND("B",UPPER(O42)))),O4,O4/2)))+IF(UPPER(P42)=UPPER(P5),P4,0)+IF(UPPER(Q42)=UPPER(Q5),Q4,0)+IF(UPPER(R42)=UPPER(R5),R4,0)+IF(UPPER(S42)=UPPER(S5),S4,0)+IF(UPPER(T42)=UPPER(T5),T4,0)+IF(U42="",0,IF(LEN(SUBSTITUTE(SUBSTITUTE(UPPER(U42),"A",""),"D",""))&gt;0,0,IF(AND(ISNUMBER(FIND("A",UPPER(U42))),ISNUMBER(FIND("D",UPPER(U42)))),U4,U4/2)))+IF(V42="",0,IF(LEN(SUBSTITUTE(SUBSTITUTE(UPPER(V42),"C",""),"D",""))&gt;0,0,IF(AND(ISNUMBER(FIND("C",UPPER(V42))),ISNUMBER(FIND("D",UPPER(V42)))),V4,V4/2)))+IF(UPPER(W42)=UPPER(W5),W4,0)+IF(UPPER(X42)=UPPER(X5),X4,0)+IF(UPPER(Y42)=UPPER(Y5),Y4,0)+IF(UPPER(Z42)=UPPER(Z5),Z4,0)+IF(AA42="",0,IF(LEN(SUBSTITUTE(SUBSTITUTE(UPPER(AA42),"C",""),"D",""))&gt;0,0,IF(AND(ISNUMBER(FIND("C",UPPER(AA42))),ISNUMBER(FIND("D",UPPER(AA42)))),AA4,AA4/2)))+IF(AB42="",0,IF(LEN(SUBSTITUTE(SUBSTITUTE(UPPER(AB42),"C",""),"D",""))&gt;0,0,IF(AND(ISNUMBER(FIND("C",UPPER(AB42))),ISNUMBER(FIND("D",UPPER(AB42)))),AB4,AB4/2)))+IF(UPPER(AC42)=UPPER(AC5),AC4,0)+IF(UPPER(AD42)=UPPER(AD5),AD4,0)+IF(UPPER(AE42)=UPPER(AE5),AE4,0)+IF(UPPER(AF42)=UPPER(AF5),AF4,0)+IF(UPPER(AG42)=UPPER(AG5),AG4,0)+IF(UPPER(AH42)=UPPER(AH5),AH4,0)+IF(AI42="",0,IF(LEN(SUBSTITUTE(SUBSTITUTE(UPPER(AI42),"A",""),"C",""))&gt;0,0,IF(AND(ISNUMBER(FIND("A",UPPER(AI42))),ISNUMBER(FIND("C",UPPER(AI42)))),AI4,AI4/2)))+IF(UPPER(AJ42)=UPPER(AJ5),AJ4,0)+IF(UPPER(AK42)=UPPER(AK5),AK4,0)+IF(UPPER(AL42)=UPPER(AL5),AL4,0)+IF(UPPER(AM42)=UPPER(AM5),AM4,0)+IF(AN42="",0,IF(LEN(SUBSTITUTE(SUBSTITUTE(UPPER(AN42),"A",""),"C",""))&gt;0,0,IF(AND(ISNUMBER(FIND("A",UPPER(AN42))),ISNUMBER(FIND("C",UPPER(AN42)))),AN4,AN4/2)))+IF(UPPER(AO42)=UPPER(AO5),AO4,0)+IF(UPPER(AP42)=UPPER(AP5),AP4,0)+IF(OR(UPPER(AQ42)="A",UPPER(AQ42)="B"),AQ4,0)+IF(AR42="",0,IF(LEN(SUBSTITUTE(SUBSTITUTE(UPPER(AR42),"A",""),"D",""))&gt;0,0,IF(AND(ISNUMBER(FIND("A",UPPER(AR42))),ISNUMBER(FIND("D",UPPER(AR42)))),AR4,AR4/2)))</f>
        <v>67.5</v>
      </c>
      <c r="E42" s="13" t="s">
        <v>61</v>
      </c>
      <c r="F42" s="13" t="s">
        <v>60</v>
      </c>
      <c r="G42" s="13" t="s">
        <v>126</v>
      </c>
      <c r="H42" s="13" t="s">
        <v>63</v>
      </c>
      <c r="I42" s="13" t="s">
        <v>60</v>
      </c>
      <c r="J42" s="13" t="s">
        <v>64</v>
      </c>
      <c r="K42" s="13" t="s">
        <v>65</v>
      </c>
      <c r="L42" s="13" t="s">
        <v>60</v>
      </c>
      <c r="M42" s="13" t="s">
        <v>61</v>
      </c>
      <c r="N42" s="13" t="s">
        <v>64</v>
      </c>
      <c r="O42" s="13" t="s">
        <v>66</v>
      </c>
      <c r="P42" s="13" t="s">
        <v>60</v>
      </c>
      <c r="Q42" s="13" t="s">
        <v>61</v>
      </c>
      <c r="R42" s="13" t="s">
        <v>61</v>
      </c>
      <c r="S42" s="13" t="s">
        <v>63</v>
      </c>
      <c r="T42" s="13" t="s">
        <v>64</v>
      </c>
      <c r="U42" s="13" t="s">
        <v>65</v>
      </c>
      <c r="V42" s="13" t="s">
        <v>66</v>
      </c>
      <c r="W42" s="13" t="s">
        <v>60</v>
      </c>
      <c r="X42" s="13" t="s">
        <v>63</v>
      </c>
      <c r="Y42" s="13" t="s">
        <v>63</v>
      </c>
      <c r="Z42" s="13" t="s">
        <v>61</v>
      </c>
      <c r="AA42" s="13" t="s">
        <v>67</v>
      </c>
      <c r="AB42" s="13" t="s">
        <v>73</v>
      </c>
      <c r="AC42" s="13" t="s">
        <v>60</v>
      </c>
      <c r="AD42" s="13" t="s">
        <v>64</v>
      </c>
      <c r="AE42" s="13" t="s">
        <v>60</v>
      </c>
      <c r="AF42" s="13" t="s">
        <v>61</v>
      </c>
      <c r="AG42" s="13" t="s">
        <v>64</v>
      </c>
      <c r="AH42" s="13" t="s">
        <v>63</v>
      </c>
      <c r="AI42" s="13" t="s">
        <v>65</v>
      </c>
      <c r="AJ42" s="13" t="s">
        <v>61</v>
      </c>
      <c r="AK42" s="13" t="s">
        <v>61</v>
      </c>
      <c r="AL42" s="13" t="s">
        <v>63</v>
      </c>
      <c r="AM42" s="13" t="s">
        <v>63</v>
      </c>
      <c r="AN42" s="13" t="s">
        <v>65</v>
      </c>
      <c r="AO42" s="13" t="s">
        <v>61</v>
      </c>
      <c r="AP42" s="13" t="s">
        <v>60</v>
      </c>
      <c r="AQ42" s="13" t="s">
        <v>60</v>
      </c>
      <c r="AR42" s="13" t="s">
        <v>67</v>
      </c>
    </row>
    <row r="43" ht="15.75" customHeight="1">
      <c r="A43" s="10">
        <v>2.023900899E9</v>
      </c>
      <c r="B43" s="10" t="s">
        <v>145</v>
      </c>
      <c r="C43" s="10" t="s">
        <v>146</v>
      </c>
      <c r="D43" s="12">
        <f>IF(OR(UPPER(E43)="A",UPPER(E43)="B"),E4,0)+IF(UPPER(F43)=UPPER(F5),F4,0)+IF(G43="",0,IF(LEN(SUBSTITUTE(SUBSTITUTE(UPPER(G43),"C",""),"D",""))&gt;0,0,IF(AND(ISNUMBER(FIND("C",UPPER(G43))),ISNUMBER(FIND("D",UPPER(G43)))),G4,G4/2)))+IF(UPPER(H43)=UPPER(H5),H4,0)+IF(UPPER(I43)=UPPER(I5),I4,0)+IF(UPPER(J43)=UPPER(J5),J4,0)+IF(K43="",0,IF(LEN(SUBSTITUTE(SUBSTITUTE(UPPER(K43),"A",""),"C",""))&gt;0,0,IF(AND(ISNUMBER(FIND("A",UPPER(K43))),ISNUMBER(FIND("C",UPPER(K43)))),K4,K4/2)))+IF(UPPER(L43)=UPPER(L5),L4,0)+IF(UPPER(M43)=UPPER(M5),M4,0)+IF(UPPER(N43)=UPPER(N5),N4,0)+IF(O43="",0,IF(LEN(SUBSTITUTE(SUBSTITUTE(UPPER(O43),"A",""),"B",""))&gt;0,0,IF(AND(ISNUMBER(FIND("A",UPPER(O43))),ISNUMBER(FIND("B",UPPER(O43)))),O4,O4/2)))+IF(UPPER(P43)=UPPER(P5),P4,0)+IF(UPPER(Q43)=UPPER(Q5),Q4,0)+IF(UPPER(R43)=UPPER(R5),R4,0)+IF(UPPER(S43)=UPPER(S5),S4,0)+IF(UPPER(T43)=UPPER(T5),T4,0)+IF(U43="",0,IF(LEN(SUBSTITUTE(SUBSTITUTE(UPPER(U43),"A",""),"D",""))&gt;0,0,IF(AND(ISNUMBER(FIND("A",UPPER(U43))),ISNUMBER(FIND("D",UPPER(U43)))),U4,U4/2)))+IF(V43="",0,IF(LEN(SUBSTITUTE(SUBSTITUTE(UPPER(V43),"C",""),"D",""))&gt;0,0,IF(AND(ISNUMBER(FIND("C",UPPER(V43))),ISNUMBER(FIND("D",UPPER(V43)))),V4,V4/2)))+IF(UPPER(W43)=UPPER(W5),W4,0)+IF(UPPER(X43)=UPPER(X5),X4,0)+IF(UPPER(Y43)=UPPER(Y5),Y4,0)+IF(UPPER(Z43)=UPPER(Z5),Z4,0)+IF(AA43="",0,IF(LEN(SUBSTITUTE(SUBSTITUTE(UPPER(AA43),"C",""),"D",""))&gt;0,0,IF(AND(ISNUMBER(FIND("C",UPPER(AA43))),ISNUMBER(FIND("D",UPPER(AA43)))),AA4,AA4/2)))+IF(AB43="",0,IF(LEN(SUBSTITUTE(SUBSTITUTE(UPPER(AB43),"C",""),"D",""))&gt;0,0,IF(AND(ISNUMBER(FIND("C",UPPER(AB43))),ISNUMBER(FIND("D",UPPER(AB43)))),AB4,AB4/2)))+IF(UPPER(AC43)=UPPER(AC5),AC4,0)+IF(UPPER(AD43)=UPPER(AD5),AD4,0)+IF(UPPER(AE43)=UPPER(AE5),AE4,0)+IF(UPPER(AF43)=UPPER(AF5),AF4,0)+IF(UPPER(AG43)=UPPER(AG5),AG4,0)+IF(UPPER(AH43)=UPPER(AH5),AH4,0)+IF(AI43="",0,IF(LEN(SUBSTITUTE(SUBSTITUTE(UPPER(AI43),"A",""),"C",""))&gt;0,0,IF(AND(ISNUMBER(FIND("A",UPPER(AI43))),ISNUMBER(FIND("C",UPPER(AI43)))),AI4,AI4/2)))+IF(UPPER(AJ43)=UPPER(AJ5),AJ4,0)+IF(UPPER(AK43)=UPPER(AK5),AK4,0)+IF(UPPER(AL43)=UPPER(AL5),AL4,0)+IF(UPPER(AM43)=UPPER(AM5),AM4,0)+IF(AN43="",0,IF(LEN(SUBSTITUTE(SUBSTITUTE(UPPER(AN43),"A",""),"C",""))&gt;0,0,IF(AND(ISNUMBER(FIND("A",UPPER(AN43))),ISNUMBER(FIND("C",UPPER(AN43)))),AN4,AN4/2)))+IF(UPPER(AO43)=UPPER(AO5),AO4,0)+IF(UPPER(AP43)=UPPER(AP5),AP4,0)+IF(OR(UPPER(AQ43)="A",UPPER(AQ43)="B"),AQ4,0)+IF(AR43="",0,IF(LEN(SUBSTITUTE(SUBSTITUTE(UPPER(AR43),"A",""),"D",""))&gt;0,0,IF(AND(ISNUMBER(FIND("A",UPPER(AR43))),ISNUMBER(FIND("D",UPPER(AR43)))),AR4,AR4/2)))</f>
        <v>87.5</v>
      </c>
      <c r="E43" s="13" t="s">
        <v>61</v>
      </c>
      <c r="F43" s="13" t="s">
        <v>61</v>
      </c>
      <c r="G43" s="13" t="s">
        <v>62</v>
      </c>
      <c r="H43" s="13" t="s">
        <v>63</v>
      </c>
      <c r="I43" s="13" t="s">
        <v>60</v>
      </c>
      <c r="J43" s="13" t="s">
        <v>64</v>
      </c>
      <c r="K43" s="13" t="s">
        <v>65</v>
      </c>
      <c r="L43" s="13" t="s">
        <v>63</v>
      </c>
      <c r="M43" s="13" t="s">
        <v>61</v>
      </c>
      <c r="N43" s="13" t="s">
        <v>63</v>
      </c>
      <c r="O43" s="13" t="s">
        <v>66</v>
      </c>
      <c r="P43" s="13" t="s">
        <v>60</v>
      </c>
      <c r="Q43" s="13" t="s">
        <v>64</v>
      </c>
      <c r="R43" s="13" t="s">
        <v>61</v>
      </c>
      <c r="S43" s="13" t="s">
        <v>61</v>
      </c>
      <c r="T43" s="13" t="s">
        <v>64</v>
      </c>
      <c r="U43" s="13" t="s">
        <v>65</v>
      </c>
      <c r="V43" s="13" t="s">
        <v>62</v>
      </c>
      <c r="W43" s="13" t="s">
        <v>61</v>
      </c>
      <c r="X43" s="13" t="s">
        <v>63</v>
      </c>
      <c r="Y43" s="13" t="s">
        <v>60</v>
      </c>
      <c r="Z43" s="13" t="s">
        <v>63</v>
      </c>
      <c r="AA43" s="13" t="s">
        <v>74</v>
      </c>
      <c r="AB43" s="13" t="s">
        <v>62</v>
      </c>
      <c r="AC43" s="13" t="s">
        <v>60</v>
      </c>
      <c r="AD43" s="13" t="s">
        <v>64</v>
      </c>
      <c r="AE43" s="13" t="s">
        <v>60</v>
      </c>
      <c r="AF43" s="13" t="s">
        <v>64</v>
      </c>
      <c r="AG43" s="13" t="s">
        <v>64</v>
      </c>
      <c r="AH43" s="13" t="s">
        <v>63</v>
      </c>
      <c r="AI43" s="13" t="s">
        <v>65</v>
      </c>
      <c r="AJ43" s="13" t="s">
        <v>64</v>
      </c>
      <c r="AK43" s="13" t="s">
        <v>61</v>
      </c>
      <c r="AL43" s="13" t="s">
        <v>63</v>
      </c>
      <c r="AM43" s="13" t="s">
        <v>63</v>
      </c>
      <c r="AN43" s="13" t="s">
        <v>65</v>
      </c>
      <c r="AO43" s="13" t="s">
        <v>61</v>
      </c>
      <c r="AP43" s="13" t="s">
        <v>60</v>
      </c>
      <c r="AQ43" s="13" t="s">
        <v>63</v>
      </c>
      <c r="AR43" s="13" t="s">
        <v>67</v>
      </c>
    </row>
    <row r="44" ht="15.75" customHeight="1">
      <c r="A44" s="10">
        <v>2.023903113E9</v>
      </c>
      <c r="B44" s="10" t="s">
        <v>147</v>
      </c>
      <c r="C44" s="10" t="s">
        <v>148</v>
      </c>
      <c r="D44" s="12">
        <f>IF(OR(UPPER(E44)="A",UPPER(E44)="B"),E4,0)+IF(UPPER(F44)=UPPER(F5),F4,0)+IF(G44="",0,IF(LEN(SUBSTITUTE(SUBSTITUTE(UPPER(G44),"C",""),"D",""))&gt;0,0,IF(AND(ISNUMBER(FIND("C",UPPER(G44))),ISNUMBER(FIND("D",UPPER(G44)))),G4,G4/2)))+IF(UPPER(H44)=UPPER(H5),H4,0)+IF(UPPER(I44)=UPPER(I5),I4,0)+IF(UPPER(J44)=UPPER(J5),J4,0)+IF(K44="",0,IF(LEN(SUBSTITUTE(SUBSTITUTE(UPPER(K44),"A",""),"C",""))&gt;0,0,IF(AND(ISNUMBER(FIND("A",UPPER(K44))),ISNUMBER(FIND("C",UPPER(K44)))),K4,K4/2)))+IF(UPPER(L44)=UPPER(L5),L4,0)+IF(UPPER(M44)=UPPER(M5),M4,0)+IF(UPPER(N44)=UPPER(N5),N4,0)+IF(O44="",0,IF(LEN(SUBSTITUTE(SUBSTITUTE(UPPER(O44),"A",""),"B",""))&gt;0,0,IF(AND(ISNUMBER(FIND("A",UPPER(O44))),ISNUMBER(FIND("B",UPPER(O44)))),O4,O4/2)))+IF(UPPER(P44)=UPPER(P5),P4,0)+IF(UPPER(Q44)=UPPER(Q5),Q4,0)+IF(UPPER(R44)=UPPER(R5),R4,0)+IF(UPPER(S44)=UPPER(S5),S4,0)+IF(UPPER(T44)=UPPER(T5),T4,0)+IF(U44="",0,IF(LEN(SUBSTITUTE(SUBSTITUTE(UPPER(U44),"A",""),"D",""))&gt;0,0,IF(AND(ISNUMBER(FIND("A",UPPER(U44))),ISNUMBER(FIND("D",UPPER(U44)))),U4,U4/2)))+IF(V44="",0,IF(LEN(SUBSTITUTE(SUBSTITUTE(UPPER(V44),"C",""),"D",""))&gt;0,0,IF(AND(ISNUMBER(FIND("C",UPPER(V44))),ISNUMBER(FIND("D",UPPER(V44)))),V4,V4/2)))+IF(UPPER(W44)=UPPER(W5),W4,0)+IF(UPPER(X44)=UPPER(X5),X4,0)+IF(UPPER(Y44)=UPPER(Y5),Y4,0)+IF(UPPER(Z44)=UPPER(Z5),Z4,0)+IF(AA44="",0,IF(LEN(SUBSTITUTE(SUBSTITUTE(UPPER(AA44),"C",""),"D",""))&gt;0,0,IF(AND(ISNUMBER(FIND("C",UPPER(AA44))),ISNUMBER(FIND("D",UPPER(AA44)))),AA4,AA4/2)))+IF(AB44="",0,IF(LEN(SUBSTITUTE(SUBSTITUTE(UPPER(AB44),"C",""),"D",""))&gt;0,0,IF(AND(ISNUMBER(FIND("C",UPPER(AB44))),ISNUMBER(FIND("D",UPPER(AB44)))),AB4,AB4/2)))+IF(UPPER(AC44)=UPPER(AC5),AC4,0)+IF(UPPER(AD44)=UPPER(AD5),AD4,0)+IF(UPPER(AE44)=UPPER(AE5),AE4,0)+IF(UPPER(AF44)=UPPER(AF5),AF4,0)+IF(UPPER(AG44)=UPPER(AG5),AG4,0)+IF(UPPER(AH44)=UPPER(AH5),AH4,0)+IF(AI44="",0,IF(LEN(SUBSTITUTE(SUBSTITUTE(UPPER(AI44),"A",""),"C",""))&gt;0,0,IF(AND(ISNUMBER(FIND("A",UPPER(AI44))),ISNUMBER(FIND("C",UPPER(AI44)))),AI4,AI4/2)))+IF(UPPER(AJ44)=UPPER(AJ5),AJ4,0)+IF(UPPER(AK44)=UPPER(AK5),AK4,0)+IF(UPPER(AL44)=UPPER(AL5),AL4,0)+IF(UPPER(AM44)=UPPER(AM5),AM4,0)+IF(AN44="",0,IF(LEN(SUBSTITUTE(SUBSTITUTE(UPPER(AN44),"A",""),"C",""))&gt;0,0,IF(AND(ISNUMBER(FIND("A",UPPER(AN44))),ISNUMBER(FIND("C",UPPER(AN44)))),AN4,AN4/2)))+IF(UPPER(AO44)=UPPER(AO5),AO4,0)+IF(UPPER(AP44)=UPPER(AP5),AP4,0)+IF(OR(UPPER(AQ44)="A",UPPER(AQ44)="B"),AQ4,0)+IF(AR44="",0,IF(LEN(SUBSTITUTE(SUBSTITUTE(UPPER(AR44),"A",""),"D",""))&gt;0,0,IF(AND(ISNUMBER(FIND("A",UPPER(AR44))),ISNUMBER(FIND("D",UPPER(AR44)))),AR4,AR4/2)))</f>
        <v>55</v>
      </c>
      <c r="E44" s="13" t="s">
        <v>60</v>
      </c>
      <c r="F44" s="13" t="s">
        <v>64</v>
      </c>
      <c r="G44" s="13" t="s">
        <v>73</v>
      </c>
      <c r="H44" s="13" t="s">
        <v>63</v>
      </c>
      <c r="I44" s="13" t="s">
        <v>60</v>
      </c>
      <c r="J44" s="13" t="s">
        <v>64</v>
      </c>
      <c r="K44" s="13" t="s">
        <v>73</v>
      </c>
      <c r="L44" s="13" t="s">
        <v>63</v>
      </c>
      <c r="M44" s="13" t="s">
        <v>60</v>
      </c>
      <c r="N44" s="13" t="s">
        <v>63</v>
      </c>
      <c r="O44" s="13" t="s">
        <v>66</v>
      </c>
      <c r="P44" s="13" t="s">
        <v>60</v>
      </c>
      <c r="Q44" s="13" t="s">
        <v>64</v>
      </c>
      <c r="R44" s="13" t="s">
        <v>61</v>
      </c>
      <c r="S44" s="13" t="s">
        <v>60</v>
      </c>
      <c r="T44" s="13" t="s">
        <v>64</v>
      </c>
      <c r="U44" s="13" t="s">
        <v>65</v>
      </c>
      <c r="V44" s="13" t="s">
        <v>66</v>
      </c>
      <c r="W44" s="13" t="s">
        <v>63</v>
      </c>
      <c r="X44" s="13" t="s">
        <v>60</v>
      </c>
      <c r="Y44" s="13" t="s">
        <v>60</v>
      </c>
      <c r="Z44" s="13" t="s">
        <v>63</v>
      </c>
      <c r="AA44" s="13" t="s">
        <v>67</v>
      </c>
      <c r="AB44" s="13" t="s">
        <v>62</v>
      </c>
      <c r="AC44" s="13" t="s">
        <v>60</v>
      </c>
      <c r="AD44" s="13" t="s">
        <v>64</v>
      </c>
      <c r="AE44" s="13" t="s">
        <v>60</v>
      </c>
      <c r="AF44" s="13" t="s">
        <v>64</v>
      </c>
      <c r="AG44" s="13" t="s">
        <v>63</v>
      </c>
      <c r="AH44" s="13" t="s">
        <v>61</v>
      </c>
      <c r="AI44" s="13" t="s">
        <v>64</v>
      </c>
      <c r="AJ44" s="13" t="s">
        <v>63</v>
      </c>
      <c r="AK44" s="13" t="s">
        <v>61</v>
      </c>
      <c r="AL44" s="13" t="s">
        <v>63</v>
      </c>
      <c r="AM44" s="13" t="s">
        <v>61</v>
      </c>
      <c r="AN44" s="13" t="s">
        <v>65</v>
      </c>
      <c r="AO44" s="13" t="s">
        <v>60</v>
      </c>
      <c r="AP44" s="13" t="s">
        <v>60</v>
      </c>
      <c r="AQ44" s="13" t="s">
        <v>60</v>
      </c>
      <c r="AR44" s="13" t="s">
        <v>65</v>
      </c>
    </row>
    <row r="45" ht="15.75" customHeight="1">
      <c r="A45" s="10">
        <v>2.023901563E9</v>
      </c>
      <c r="B45" s="10" t="s">
        <v>149</v>
      </c>
      <c r="C45" s="10" t="s">
        <v>150</v>
      </c>
      <c r="D45" s="12">
        <f>IF(OR(UPPER(E45)="A",UPPER(E45)="B"),E4,0)+IF(UPPER(F45)=UPPER(F5),F4,0)+IF(G45="",0,IF(LEN(SUBSTITUTE(SUBSTITUTE(UPPER(G45),"C",""),"D",""))&gt;0,0,IF(AND(ISNUMBER(FIND("C",UPPER(G45))),ISNUMBER(FIND("D",UPPER(G45)))),G4,G4/2)))+IF(UPPER(H45)=UPPER(H5),H4,0)+IF(UPPER(I45)=UPPER(I5),I4,0)+IF(UPPER(J45)=UPPER(J5),J4,0)+IF(K45="",0,IF(LEN(SUBSTITUTE(SUBSTITUTE(UPPER(K45),"A",""),"C",""))&gt;0,0,IF(AND(ISNUMBER(FIND("A",UPPER(K45))),ISNUMBER(FIND("C",UPPER(K45)))),K4,K4/2)))+IF(UPPER(L45)=UPPER(L5),L4,0)+IF(UPPER(M45)=UPPER(M5),M4,0)+IF(UPPER(N45)=UPPER(N5),N4,0)+IF(O45="",0,IF(LEN(SUBSTITUTE(SUBSTITUTE(UPPER(O45),"A",""),"B",""))&gt;0,0,IF(AND(ISNUMBER(FIND("A",UPPER(O45))),ISNUMBER(FIND("B",UPPER(O45)))),O4,O4/2)))+IF(UPPER(P45)=UPPER(P5),P4,0)+IF(UPPER(Q45)=UPPER(Q5),Q4,0)+IF(UPPER(R45)=UPPER(R5),R4,0)+IF(UPPER(S45)=UPPER(S5),S4,0)+IF(UPPER(T45)=UPPER(T5),T4,0)+IF(U45="",0,IF(LEN(SUBSTITUTE(SUBSTITUTE(UPPER(U45),"A",""),"D",""))&gt;0,0,IF(AND(ISNUMBER(FIND("A",UPPER(U45))),ISNUMBER(FIND("D",UPPER(U45)))),U4,U4/2)))+IF(V45="",0,IF(LEN(SUBSTITUTE(SUBSTITUTE(UPPER(V45),"C",""),"D",""))&gt;0,0,IF(AND(ISNUMBER(FIND("C",UPPER(V45))),ISNUMBER(FIND("D",UPPER(V45)))),V4,V4/2)))+IF(UPPER(W45)=UPPER(W5),W4,0)+IF(UPPER(X45)=UPPER(X5),X4,0)+IF(UPPER(Y45)=UPPER(Y5),Y4,0)+IF(UPPER(Z45)=UPPER(Z5),Z4,0)+IF(AA45="",0,IF(LEN(SUBSTITUTE(SUBSTITUTE(UPPER(AA45),"C",""),"D",""))&gt;0,0,IF(AND(ISNUMBER(FIND("C",UPPER(AA45))),ISNUMBER(FIND("D",UPPER(AA45)))),AA4,AA4/2)))+IF(AB45="",0,IF(LEN(SUBSTITUTE(SUBSTITUTE(UPPER(AB45),"C",""),"D",""))&gt;0,0,IF(AND(ISNUMBER(FIND("C",UPPER(AB45))),ISNUMBER(FIND("D",UPPER(AB45)))),AB4,AB4/2)))+IF(UPPER(AC45)=UPPER(AC5),AC4,0)+IF(UPPER(AD45)=UPPER(AD5),AD4,0)+IF(UPPER(AE45)=UPPER(AE5),AE4,0)+IF(UPPER(AF45)=UPPER(AF5),AF4,0)+IF(UPPER(AG45)=UPPER(AG5),AG4,0)+IF(UPPER(AH45)=UPPER(AH5),AH4,0)+IF(AI45="",0,IF(LEN(SUBSTITUTE(SUBSTITUTE(UPPER(AI45),"A",""),"C",""))&gt;0,0,IF(AND(ISNUMBER(FIND("A",UPPER(AI45))),ISNUMBER(FIND("C",UPPER(AI45)))),AI4,AI4/2)))+IF(UPPER(AJ45)=UPPER(AJ5),AJ4,0)+IF(UPPER(AK45)=UPPER(AK5),AK4,0)+IF(UPPER(AL45)=UPPER(AL5),AL4,0)+IF(UPPER(AM45)=UPPER(AM5),AM4,0)+IF(AN45="",0,IF(LEN(SUBSTITUTE(SUBSTITUTE(UPPER(AN45),"A",""),"C",""))&gt;0,0,IF(AND(ISNUMBER(FIND("A",UPPER(AN45))),ISNUMBER(FIND("C",UPPER(AN45)))),AN4,AN4/2)))+IF(UPPER(AO45)=UPPER(AO5),AO4,0)+IF(UPPER(AP45)=UPPER(AP5),AP4,0)+IF(OR(UPPER(AQ45)="A",UPPER(AQ45)="B"),AQ4,0)+IF(AR45="",0,IF(LEN(SUBSTITUTE(SUBSTITUTE(UPPER(AR45),"A",""),"D",""))&gt;0,0,IF(AND(ISNUMBER(FIND("A",UPPER(AR45))),ISNUMBER(FIND("D",UPPER(AR45)))),AR4,AR4/2)))</f>
        <v>80</v>
      </c>
      <c r="E45" s="13" t="s">
        <v>60</v>
      </c>
      <c r="F45" s="13" t="s">
        <v>61</v>
      </c>
      <c r="G45" s="13" t="s">
        <v>67</v>
      </c>
      <c r="H45" s="13" t="s">
        <v>63</v>
      </c>
      <c r="I45" s="13" t="s">
        <v>60</v>
      </c>
      <c r="J45" s="13" t="s">
        <v>61</v>
      </c>
      <c r="K45" s="13" t="s">
        <v>65</v>
      </c>
      <c r="L45" s="13" t="s">
        <v>63</v>
      </c>
      <c r="M45" s="13" t="s">
        <v>61</v>
      </c>
      <c r="N45" s="13" t="s">
        <v>64</v>
      </c>
      <c r="O45" s="13" t="s">
        <v>66</v>
      </c>
      <c r="P45" s="13" t="s">
        <v>60</v>
      </c>
      <c r="Q45" s="13" t="s">
        <v>64</v>
      </c>
      <c r="R45" s="13" t="s">
        <v>61</v>
      </c>
      <c r="S45" s="13" t="s">
        <v>63</v>
      </c>
      <c r="T45" s="13" t="s">
        <v>64</v>
      </c>
      <c r="U45" s="13" t="s">
        <v>65</v>
      </c>
      <c r="V45" s="13" t="s">
        <v>67</v>
      </c>
      <c r="W45" s="13" t="s">
        <v>61</v>
      </c>
      <c r="X45" s="13" t="s">
        <v>63</v>
      </c>
      <c r="Y45" s="13" t="s">
        <v>61</v>
      </c>
      <c r="Z45" s="13" t="s">
        <v>61</v>
      </c>
      <c r="AA45" s="13" t="s">
        <v>62</v>
      </c>
      <c r="AB45" s="13" t="s">
        <v>62</v>
      </c>
      <c r="AC45" s="13" t="s">
        <v>60</v>
      </c>
      <c r="AD45" s="13" t="s">
        <v>64</v>
      </c>
      <c r="AE45" s="13" t="s">
        <v>60</v>
      </c>
      <c r="AF45" s="13" t="s">
        <v>61</v>
      </c>
      <c r="AG45" s="13" t="s">
        <v>64</v>
      </c>
      <c r="AH45" s="13" t="s">
        <v>63</v>
      </c>
      <c r="AI45" s="13" t="s">
        <v>73</v>
      </c>
      <c r="AJ45" s="13" t="s">
        <v>64</v>
      </c>
      <c r="AK45" s="13" t="s">
        <v>61</v>
      </c>
      <c r="AL45" s="13" t="s">
        <v>63</v>
      </c>
      <c r="AM45" s="13" t="s">
        <v>63</v>
      </c>
      <c r="AN45" s="13" t="s">
        <v>65</v>
      </c>
      <c r="AO45" s="13" t="s">
        <v>61</v>
      </c>
      <c r="AP45" s="13" t="s">
        <v>60</v>
      </c>
      <c r="AQ45" s="13" t="s">
        <v>60</v>
      </c>
      <c r="AR45" s="13" t="s">
        <v>67</v>
      </c>
    </row>
    <row r="46" ht="15.75" customHeight="1">
      <c r="A46" s="10">
        <v>2.023905495E9</v>
      </c>
      <c r="B46" s="10" t="s">
        <v>151</v>
      </c>
      <c r="C46" s="10" t="s">
        <v>152</v>
      </c>
      <c r="D46" s="12">
        <f>IF(OR(UPPER(E46)="A",UPPER(E46)="B"),E4,0)+IF(UPPER(F46)=UPPER(F5),F4,0)+IF(G46="",0,IF(LEN(SUBSTITUTE(SUBSTITUTE(UPPER(G46),"C",""),"D",""))&gt;0,0,IF(AND(ISNUMBER(FIND("C",UPPER(G46))),ISNUMBER(FIND("D",UPPER(G46)))),G4,G4/2)))+IF(UPPER(H46)=UPPER(H5),H4,0)+IF(UPPER(I46)=UPPER(I5),I4,0)+IF(UPPER(J46)=UPPER(J5),J4,0)+IF(K46="",0,IF(LEN(SUBSTITUTE(SUBSTITUTE(UPPER(K46),"A",""),"C",""))&gt;0,0,IF(AND(ISNUMBER(FIND("A",UPPER(K46))),ISNUMBER(FIND("C",UPPER(K46)))),K4,K4/2)))+IF(UPPER(L46)=UPPER(L5),L4,0)+IF(UPPER(M46)=UPPER(M5),M4,0)+IF(UPPER(N46)=UPPER(N5),N4,0)+IF(O46="",0,IF(LEN(SUBSTITUTE(SUBSTITUTE(UPPER(O46),"A",""),"B",""))&gt;0,0,IF(AND(ISNUMBER(FIND("A",UPPER(O46))),ISNUMBER(FIND("B",UPPER(O46)))),O4,O4/2)))+IF(UPPER(P46)=UPPER(P5),P4,0)+IF(UPPER(Q46)=UPPER(Q5),Q4,0)+IF(UPPER(R46)=UPPER(R5),R4,0)+IF(UPPER(S46)=UPPER(S5),S4,0)+IF(UPPER(T46)=UPPER(T5),T4,0)+IF(U46="",0,IF(LEN(SUBSTITUTE(SUBSTITUTE(UPPER(U46),"A",""),"D",""))&gt;0,0,IF(AND(ISNUMBER(FIND("A",UPPER(U46))),ISNUMBER(FIND("D",UPPER(U46)))),U4,U4/2)))+IF(V46="",0,IF(LEN(SUBSTITUTE(SUBSTITUTE(UPPER(V46),"C",""),"D",""))&gt;0,0,IF(AND(ISNUMBER(FIND("C",UPPER(V46))),ISNUMBER(FIND("D",UPPER(V46)))),V4,V4/2)))+IF(UPPER(W46)=UPPER(W5),W4,0)+IF(UPPER(X46)=UPPER(X5),X4,0)+IF(UPPER(Y46)=UPPER(Y5),Y4,0)+IF(UPPER(Z46)=UPPER(Z5),Z4,0)+IF(AA46="",0,IF(LEN(SUBSTITUTE(SUBSTITUTE(UPPER(AA46),"C",""),"D",""))&gt;0,0,IF(AND(ISNUMBER(FIND("C",UPPER(AA46))),ISNUMBER(FIND("D",UPPER(AA46)))),AA4,AA4/2)))+IF(AB46="",0,IF(LEN(SUBSTITUTE(SUBSTITUTE(UPPER(AB46),"C",""),"D",""))&gt;0,0,IF(AND(ISNUMBER(FIND("C",UPPER(AB46))),ISNUMBER(FIND("D",UPPER(AB46)))),AB4,AB4/2)))+IF(UPPER(AC46)=UPPER(AC5),AC4,0)+IF(UPPER(AD46)=UPPER(AD5),AD4,0)+IF(UPPER(AE46)=UPPER(AE5),AE4,0)+IF(UPPER(AF46)=UPPER(AF5),AF4,0)+IF(UPPER(AG46)=UPPER(AG5),AG4,0)+IF(UPPER(AH46)=UPPER(AH5),AH4,0)+IF(AI46="",0,IF(LEN(SUBSTITUTE(SUBSTITUTE(UPPER(AI46),"A",""),"C",""))&gt;0,0,IF(AND(ISNUMBER(FIND("A",UPPER(AI46))),ISNUMBER(FIND("C",UPPER(AI46)))),AI4,AI4/2)))+IF(UPPER(AJ46)=UPPER(AJ5),AJ4,0)+IF(UPPER(AK46)=UPPER(AK5),AK4,0)+IF(UPPER(AL46)=UPPER(AL5),AL4,0)+IF(UPPER(AM46)=UPPER(AM5),AM4,0)+IF(AN46="",0,IF(LEN(SUBSTITUTE(SUBSTITUTE(UPPER(AN46),"A",""),"C",""))&gt;0,0,IF(AND(ISNUMBER(FIND("A",UPPER(AN46))),ISNUMBER(FIND("C",UPPER(AN46)))),AN4,AN4/2)))+IF(UPPER(AO46)=UPPER(AO5),AO4,0)+IF(UPPER(AP46)=UPPER(AP5),AP4,0)+IF(OR(UPPER(AQ46)="A",UPPER(AQ46)="B"),AQ4,0)+IF(AR46="",0,IF(LEN(SUBSTITUTE(SUBSTITUTE(UPPER(AR46),"A",""),"D",""))&gt;0,0,IF(AND(ISNUMBER(FIND("A",UPPER(AR46))),ISNUMBER(FIND("D",UPPER(AR46)))),AR4,AR4/2)))</f>
        <v>95</v>
      </c>
      <c r="E46" s="13" t="s">
        <v>61</v>
      </c>
      <c r="F46" s="13" t="s">
        <v>61</v>
      </c>
      <c r="G46" s="13" t="s">
        <v>113</v>
      </c>
      <c r="H46" s="13" t="s">
        <v>63</v>
      </c>
      <c r="I46" s="13" t="s">
        <v>60</v>
      </c>
      <c r="J46" s="13" t="s">
        <v>60</v>
      </c>
      <c r="K46" s="13" t="s">
        <v>65</v>
      </c>
      <c r="L46" s="13" t="s">
        <v>63</v>
      </c>
      <c r="M46" s="13" t="s">
        <v>61</v>
      </c>
      <c r="N46" s="13" t="s">
        <v>63</v>
      </c>
      <c r="O46" s="13" t="s">
        <v>66</v>
      </c>
      <c r="P46" s="13" t="s">
        <v>60</v>
      </c>
      <c r="Q46" s="13" t="s">
        <v>64</v>
      </c>
      <c r="R46" s="13" t="s">
        <v>61</v>
      </c>
      <c r="S46" s="13" t="s">
        <v>63</v>
      </c>
      <c r="T46" s="13" t="s">
        <v>64</v>
      </c>
      <c r="U46" s="13" t="s">
        <v>67</v>
      </c>
      <c r="V46" s="13" t="s">
        <v>62</v>
      </c>
      <c r="W46" s="13" t="s">
        <v>61</v>
      </c>
      <c r="X46" s="13" t="s">
        <v>63</v>
      </c>
      <c r="Y46" s="13" t="s">
        <v>60</v>
      </c>
      <c r="Z46" s="13" t="s">
        <v>63</v>
      </c>
      <c r="AA46" s="13" t="s">
        <v>62</v>
      </c>
      <c r="AB46" s="13" t="s">
        <v>62</v>
      </c>
      <c r="AC46" s="13" t="s">
        <v>64</v>
      </c>
      <c r="AD46" s="13" t="s">
        <v>64</v>
      </c>
      <c r="AE46" s="13" t="s">
        <v>60</v>
      </c>
      <c r="AF46" s="13" t="s">
        <v>61</v>
      </c>
      <c r="AG46" s="13" t="s">
        <v>64</v>
      </c>
      <c r="AH46" s="13" t="s">
        <v>63</v>
      </c>
      <c r="AI46" s="13" t="s">
        <v>65</v>
      </c>
      <c r="AJ46" s="13" t="s">
        <v>64</v>
      </c>
      <c r="AK46" s="13" t="s">
        <v>61</v>
      </c>
      <c r="AL46" s="13" t="s">
        <v>63</v>
      </c>
      <c r="AM46" s="13" t="s">
        <v>63</v>
      </c>
      <c r="AN46" s="13" t="s">
        <v>65</v>
      </c>
      <c r="AO46" s="13" t="s">
        <v>61</v>
      </c>
      <c r="AP46" s="13" t="s">
        <v>60</v>
      </c>
      <c r="AQ46" s="13" t="s">
        <v>61</v>
      </c>
      <c r="AR46" s="13" t="s">
        <v>67</v>
      </c>
    </row>
    <row r="47">
      <c r="A47" s="10">
        <v>2.023905492E9</v>
      </c>
      <c r="B47" s="10" t="s">
        <v>153</v>
      </c>
      <c r="C47" s="10" t="s">
        <v>154</v>
      </c>
      <c r="D47" s="12">
        <f t="array" ref="D47">SUM((E47:AR47=E$5:AR$5)*2.5 + (E47:AR47&lt;&gt;E$5:AR$5)*ISNUMBER(SEARCH(E47:AR47, E$5:AR$5))*(E47:AR47&lt;&gt;"")*IF(ISNUMBER(SEARCH("/", E$5:AR$5)), 2.5, 1.25))</f>
        <v>76.25</v>
      </c>
      <c r="E47" s="13" t="s">
        <v>61</v>
      </c>
      <c r="F47" s="13" t="s">
        <v>61</v>
      </c>
      <c r="G47" s="13" t="s">
        <v>62</v>
      </c>
      <c r="H47" s="13" t="s">
        <v>63</v>
      </c>
      <c r="I47" s="13" t="s">
        <v>60</v>
      </c>
      <c r="J47" s="13" t="s">
        <v>64</v>
      </c>
      <c r="K47" s="13" t="s">
        <v>65</v>
      </c>
      <c r="L47" s="13" t="s">
        <v>63</v>
      </c>
      <c r="M47" s="13" t="s">
        <v>61</v>
      </c>
      <c r="N47" s="13" t="s">
        <v>64</v>
      </c>
      <c r="O47" s="13" t="s">
        <v>66</v>
      </c>
      <c r="P47" s="13" t="s">
        <v>60</v>
      </c>
      <c r="Q47" s="13" t="s">
        <v>64</v>
      </c>
      <c r="R47" s="13" t="s">
        <v>61</v>
      </c>
      <c r="S47" s="13" t="s">
        <v>60</v>
      </c>
      <c r="T47" s="13" t="s">
        <v>64</v>
      </c>
      <c r="U47" s="13" t="s">
        <v>67</v>
      </c>
      <c r="V47" s="13" t="s">
        <v>62</v>
      </c>
      <c r="W47" s="13" t="s">
        <v>61</v>
      </c>
      <c r="X47" s="13" t="s">
        <v>63</v>
      </c>
      <c r="Y47" s="13" t="s">
        <v>60</v>
      </c>
      <c r="Z47" s="13" t="s">
        <v>60</v>
      </c>
      <c r="AA47" s="13" t="s">
        <v>74</v>
      </c>
      <c r="AB47" s="13" t="s">
        <v>62</v>
      </c>
      <c r="AC47" s="13" t="s">
        <v>61</v>
      </c>
      <c r="AD47" s="13" t="s">
        <v>66</v>
      </c>
      <c r="AE47" s="13" t="s">
        <v>60</v>
      </c>
      <c r="AF47" s="13" t="s">
        <v>61</v>
      </c>
      <c r="AG47" s="13" t="s">
        <v>64</v>
      </c>
      <c r="AH47" s="13" t="s">
        <v>63</v>
      </c>
      <c r="AI47" s="13" t="s">
        <v>65</v>
      </c>
      <c r="AJ47" s="13" t="s">
        <v>60</v>
      </c>
      <c r="AK47" s="13" t="s">
        <v>60</v>
      </c>
      <c r="AL47" s="13" t="s">
        <v>63</v>
      </c>
      <c r="AM47" s="13" t="s">
        <v>63</v>
      </c>
      <c r="AN47" s="13" t="s">
        <v>65</v>
      </c>
      <c r="AO47" s="13" t="s">
        <v>61</v>
      </c>
      <c r="AP47" s="13" t="s">
        <v>63</v>
      </c>
      <c r="AQ47" s="13" t="s">
        <v>60</v>
      </c>
      <c r="AR47" s="13" t="s">
        <v>61</v>
      </c>
    </row>
    <row r="48" ht="15.75" customHeight="1">
      <c r="A48" s="10">
        <v>2.023905494E9</v>
      </c>
      <c r="B48" s="10" t="s">
        <v>155</v>
      </c>
      <c r="C48" s="10" t="s">
        <v>156</v>
      </c>
      <c r="D48" s="12">
        <f>IF(OR(UPPER(E48)="A",UPPER(E48)="B"),E4,0)+IF(UPPER(F48)=UPPER(F5),F4,0)+IF(G48="",0,IF(LEN(SUBSTITUTE(SUBSTITUTE(UPPER(G48),"C",""),"D",""))&gt;0,0,IF(AND(ISNUMBER(FIND("C",UPPER(G48))),ISNUMBER(FIND("D",UPPER(G48)))),G4,G4/2)))+IF(UPPER(H48)=UPPER(H5),H4,0)+IF(UPPER(I48)=UPPER(I5),I4,0)+IF(UPPER(J48)=UPPER(J5),J4,0)+IF(K48="",0,IF(LEN(SUBSTITUTE(SUBSTITUTE(UPPER(K48),"A",""),"C",""))&gt;0,0,IF(AND(ISNUMBER(FIND("A",UPPER(K48))),ISNUMBER(FIND("C",UPPER(K48)))),K4,K4/2)))+IF(UPPER(L48)=UPPER(L5),L4,0)+IF(UPPER(M48)=UPPER(M5),M4,0)+IF(UPPER(N48)=UPPER(N5),N4,0)+IF(O48="",0,IF(LEN(SUBSTITUTE(SUBSTITUTE(UPPER(O48),"A",""),"B",""))&gt;0,0,IF(AND(ISNUMBER(FIND("A",UPPER(O48))),ISNUMBER(FIND("B",UPPER(O48)))),O4,O4/2)))+IF(UPPER(P48)=UPPER(P5),P4,0)+IF(UPPER(Q48)=UPPER(Q5),Q4,0)+IF(UPPER(R48)=UPPER(R5),R4,0)+IF(UPPER(S48)=UPPER(S5),S4,0)+IF(UPPER(T48)=UPPER(T5),T4,0)+IF(U48="",0,IF(LEN(SUBSTITUTE(SUBSTITUTE(UPPER(U48),"A",""),"D",""))&gt;0,0,IF(AND(ISNUMBER(FIND("A",UPPER(U48))),ISNUMBER(FIND("D",UPPER(U48)))),U4,U4/2)))+IF(V48="",0,IF(LEN(SUBSTITUTE(SUBSTITUTE(UPPER(V48),"C",""),"D",""))&gt;0,0,IF(AND(ISNUMBER(FIND("C",UPPER(V48))),ISNUMBER(FIND("D",UPPER(V48)))),V4,V4/2)))+IF(UPPER(W48)=UPPER(W5),W4,0)+IF(UPPER(X48)=UPPER(X5),X4,0)+IF(UPPER(Y48)=UPPER(Y5),Y4,0)+IF(UPPER(Z48)=UPPER(Z5),Z4,0)+IF(AA48="",0,IF(LEN(SUBSTITUTE(SUBSTITUTE(UPPER(AA48),"C",""),"D",""))&gt;0,0,IF(AND(ISNUMBER(FIND("C",UPPER(AA48))),ISNUMBER(FIND("D",UPPER(AA48)))),AA4,AA4/2)))+IF(AB48="",0,IF(LEN(SUBSTITUTE(SUBSTITUTE(UPPER(AB48),"C",""),"D",""))&gt;0,0,IF(AND(ISNUMBER(FIND("C",UPPER(AB48))),ISNUMBER(FIND("D",UPPER(AB48)))),AB4,AB4/2)))+IF(UPPER(AC48)=UPPER(AC5),AC4,0)+IF(UPPER(AD48)=UPPER(AD5),AD4,0)+IF(UPPER(AE48)=UPPER(AE5),AE4,0)+IF(UPPER(AF48)=UPPER(AF5),AF4,0)+IF(UPPER(AG48)=UPPER(AG5),AG4,0)+IF(UPPER(AH48)=UPPER(AH5),AH4,0)+IF(AI48="",0,IF(LEN(SUBSTITUTE(SUBSTITUTE(UPPER(AI48),"A",""),"C",""))&gt;0,0,IF(AND(ISNUMBER(FIND("A",UPPER(AI48))),ISNUMBER(FIND("C",UPPER(AI48)))),AI4,AI4/2)))+IF(UPPER(AJ48)=UPPER(AJ5),AJ4,0)+IF(UPPER(AK48)=UPPER(AK5),AK4,0)+IF(UPPER(AL48)=UPPER(AL5),AL4,0)+IF(UPPER(AM48)=UPPER(AM5),AM4,0)+IF(AN48="",0,IF(LEN(SUBSTITUTE(SUBSTITUTE(UPPER(AN48),"A",""),"C",""))&gt;0,0,IF(AND(ISNUMBER(FIND("A",UPPER(AN48))),ISNUMBER(FIND("C",UPPER(AN48)))),AN4,AN4/2)))+IF(UPPER(AO48)=UPPER(AO5),AO4,0)+IF(UPPER(AP48)=UPPER(AP5),AP4,0)+IF(OR(UPPER(AQ48)="A",UPPER(AQ48)="B"),AQ4,0)+IF(AR48="",0,IF(LEN(SUBSTITUTE(SUBSTITUTE(UPPER(AR48),"A",""),"D",""))&gt;0,0,IF(AND(ISNUMBER(FIND("A",UPPER(AR48))),ISNUMBER(FIND("D",UPPER(AR48)))),AR4,AR4/2)))</f>
        <v>60</v>
      </c>
      <c r="E48" s="13" t="s">
        <v>60</v>
      </c>
      <c r="F48" s="13" t="s">
        <v>61</v>
      </c>
      <c r="G48" s="13" t="s">
        <v>67</v>
      </c>
      <c r="H48" s="13" t="s">
        <v>60</v>
      </c>
      <c r="I48" s="13" t="s">
        <v>61</v>
      </c>
      <c r="J48" s="13" t="s">
        <v>61</v>
      </c>
      <c r="K48" s="13" t="s">
        <v>74</v>
      </c>
      <c r="L48" s="13" t="s">
        <v>63</v>
      </c>
      <c r="M48" s="13" t="s">
        <v>63</v>
      </c>
      <c r="N48" s="13" t="s">
        <v>64</v>
      </c>
      <c r="O48" s="13" t="s">
        <v>73</v>
      </c>
      <c r="P48" s="13" t="s">
        <v>61</v>
      </c>
      <c r="Q48" s="13" t="s">
        <v>60</v>
      </c>
      <c r="R48" s="13" t="s">
        <v>61</v>
      </c>
      <c r="S48" s="13" t="s">
        <v>61</v>
      </c>
      <c r="T48" s="13" t="s">
        <v>64</v>
      </c>
      <c r="U48" s="13" t="s">
        <v>74</v>
      </c>
      <c r="V48" s="13" t="s">
        <v>73</v>
      </c>
      <c r="W48" s="13" t="s">
        <v>61</v>
      </c>
      <c r="X48" s="13" t="s">
        <v>63</v>
      </c>
      <c r="Y48" s="13" t="s">
        <v>60</v>
      </c>
      <c r="Z48" s="13" t="s">
        <v>63</v>
      </c>
      <c r="AA48" s="13" t="s">
        <v>74</v>
      </c>
      <c r="AB48" s="13" t="s">
        <v>62</v>
      </c>
      <c r="AC48" s="13" t="s">
        <v>60</v>
      </c>
      <c r="AD48" s="13" t="s">
        <v>64</v>
      </c>
      <c r="AE48" s="13" t="s">
        <v>60</v>
      </c>
      <c r="AF48" s="13" t="s">
        <v>60</v>
      </c>
      <c r="AG48" s="13" t="s">
        <v>64</v>
      </c>
      <c r="AH48" s="13" t="s">
        <v>64</v>
      </c>
      <c r="AI48" s="13" t="s">
        <v>65</v>
      </c>
      <c r="AJ48" s="13" t="s">
        <v>64</v>
      </c>
      <c r="AK48" s="13" t="s">
        <v>61</v>
      </c>
      <c r="AL48" s="13" t="s">
        <v>63</v>
      </c>
      <c r="AM48" s="13" t="s">
        <v>63</v>
      </c>
      <c r="AN48" s="13" t="s">
        <v>65</v>
      </c>
      <c r="AO48" s="13" t="s">
        <v>61</v>
      </c>
      <c r="AP48" s="13" t="s">
        <v>60</v>
      </c>
      <c r="AQ48" s="13" t="s">
        <v>60</v>
      </c>
      <c r="AR48" s="13" t="s">
        <v>67</v>
      </c>
    </row>
    <row r="49" ht="15.75" customHeight="1">
      <c r="A49" s="10">
        <v>2.02390542E9</v>
      </c>
      <c r="B49" s="10" t="s">
        <v>157</v>
      </c>
      <c r="C49" s="10" t="s">
        <v>158</v>
      </c>
      <c r="D49" s="12">
        <f>IF(OR(UPPER(E49)="A",UPPER(E49)="B"),E4,0)+IF(UPPER(F49)=UPPER(F5),F4,0)+IF(G49="",0,IF(LEN(SUBSTITUTE(SUBSTITUTE(UPPER(G49),"C",""),"D",""))&gt;0,0,IF(AND(ISNUMBER(FIND("C",UPPER(G49))),ISNUMBER(FIND("D",UPPER(G49)))),G4,G4/2)))+IF(UPPER(H49)=UPPER(H5),H4,0)+IF(UPPER(I49)=UPPER(I5),I4,0)+IF(UPPER(J49)=UPPER(J5),J4,0)+IF(K49="",0,IF(LEN(SUBSTITUTE(SUBSTITUTE(UPPER(K49),"A",""),"C",""))&gt;0,0,IF(AND(ISNUMBER(FIND("A",UPPER(K49))),ISNUMBER(FIND("C",UPPER(K49)))),K4,K4/2)))+IF(UPPER(L49)=UPPER(L5),L4,0)+IF(UPPER(M49)=UPPER(M5),M4,0)+IF(UPPER(N49)=UPPER(N5),N4,0)+IF(O49="",0,IF(LEN(SUBSTITUTE(SUBSTITUTE(UPPER(O49),"A",""),"B",""))&gt;0,0,IF(AND(ISNUMBER(FIND("A",UPPER(O49))),ISNUMBER(FIND("B",UPPER(O49)))),O4,O4/2)))+IF(UPPER(P49)=UPPER(P5),P4,0)+IF(UPPER(Q49)=UPPER(Q5),Q4,0)+IF(UPPER(R49)=UPPER(R5),R4,0)+IF(UPPER(S49)=UPPER(S5),S4,0)+IF(UPPER(T49)=UPPER(T5),T4,0)+IF(U49="",0,IF(LEN(SUBSTITUTE(SUBSTITUTE(UPPER(U49),"A",""),"D",""))&gt;0,0,IF(AND(ISNUMBER(FIND("A",UPPER(U49))),ISNUMBER(FIND("D",UPPER(U49)))),U4,U4/2)))+IF(V49="",0,IF(LEN(SUBSTITUTE(SUBSTITUTE(UPPER(V49),"C",""),"D",""))&gt;0,0,IF(AND(ISNUMBER(FIND("C",UPPER(V49))),ISNUMBER(FIND("D",UPPER(V49)))),V4,V4/2)))+IF(UPPER(W49)=UPPER(W5),W4,0)+IF(UPPER(X49)=UPPER(X5),X4,0)+IF(UPPER(Y49)=UPPER(Y5),Y4,0)+IF(UPPER(Z49)=UPPER(Z5),Z4,0)+IF(AA49="",0,IF(LEN(SUBSTITUTE(SUBSTITUTE(UPPER(AA49),"C",""),"D",""))&gt;0,0,IF(AND(ISNUMBER(FIND("C",UPPER(AA49))),ISNUMBER(FIND("D",UPPER(AA49)))),AA4,AA4/2)))+IF(AB49="",0,IF(LEN(SUBSTITUTE(SUBSTITUTE(UPPER(AB49),"C",""),"D",""))&gt;0,0,IF(AND(ISNUMBER(FIND("C",UPPER(AB49))),ISNUMBER(FIND("D",UPPER(AB49)))),AB4,AB4/2)))+IF(UPPER(AC49)=UPPER(AC5),AC4,0)+IF(UPPER(AD49)=UPPER(AD5),AD4,0)+IF(UPPER(AE49)=UPPER(AE5),AE4,0)+IF(UPPER(AF49)=UPPER(AF5),AF4,0)+IF(UPPER(AG49)=UPPER(AG5),AG4,0)+IF(UPPER(AH49)=UPPER(AH5),AH4,0)+IF(AI49="",0,IF(LEN(SUBSTITUTE(SUBSTITUTE(UPPER(AI49),"A",""),"C",""))&gt;0,0,IF(AND(ISNUMBER(FIND("A",UPPER(AI49))),ISNUMBER(FIND("C",UPPER(AI49)))),AI4,AI4/2)))+IF(UPPER(AJ49)=UPPER(AJ5),AJ4,0)+IF(UPPER(AK49)=UPPER(AK5),AK4,0)+IF(UPPER(AL49)=UPPER(AL5),AL4,0)+IF(UPPER(AM49)=UPPER(AM5),AM4,0)+IF(AN49="",0,IF(LEN(SUBSTITUTE(SUBSTITUTE(UPPER(AN49),"A",""),"C",""))&gt;0,0,IF(AND(ISNUMBER(FIND("A",UPPER(AN49))),ISNUMBER(FIND("C",UPPER(AN49)))),AN4,AN4/2)))+IF(UPPER(AO49)=UPPER(AO5),AO4,0)+IF(UPPER(AP49)=UPPER(AP5),AP4,0)+IF(OR(UPPER(AQ49)="A",UPPER(AQ49)="B"),AQ4,0)+IF(AR49="",0,IF(LEN(SUBSTITUTE(SUBSTITUTE(UPPER(AR49),"A",""),"D",""))&gt;0,0,IF(AND(ISNUMBER(FIND("A",UPPER(AR49))),ISNUMBER(FIND("D",UPPER(AR49)))),AR4,AR4/2)))</f>
        <v>78.75</v>
      </c>
      <c r="E49" s="13" t="s">
        <v>61</v>
      </c>
      <c r="F49" s="13" t="s">
        <v>74</v>
      </c>
      <c r="G49" s="13" t="s">
        <v>62</v>
      </c>
      <c r="H49" s="13" t="s">
        <v>63</v>
      </c>
      <c r="I49" s="13" t="s">
        <v>60</v>
      </c>
      <c r="J49" s="13" t="s">
        <v>64</v>
      </c>
      <c r="K49" s="13" t="s">
        <v>67</v>
      </c>
      <c r="L49" s="13" t="s">
        <v>63</v>
      </c>
      <c r="M49" s="13" t="s">
        <v>61</v>
      </c>
      <c r="N49" s="13" t="s">
        <v>64</v>
      </c>
      <c r="O49" s="13" t="s">
        <v>66</v>
      </c>
      <c r="P49" s="13" t="s">
        <v>60</v>
      </c>
      <c r="Q49" s="13" t="s">
        <v>64</v>
      </c>
      <c r="R49" s="13" t="s">
        <v>61</v>
      </c>
      <c r="S49" s="13" t="s">
        <v>61</v>
      </c>
      <c r="T49" s="13" t="s">
        <v>64</v>
      </c>
      <c r="U49" s="13" t="s">
        <v>67</v>
      </c>
      <c r="V49" s="13" t="s">
        <v>74</v>
      </c>
      <c r="W49" s="13" t="s">
        <v>61</v>
      </c>
      <c r="X49" s="13" t="s">
        <v>63</v>
      </c>
      <c r="Y49" s="13" t="s">
        <v>60</v>
      </c>
      <c r="Z49" s="13" t="s">
        <v>63</v>
      </c>
      <c r="AA49" s="13" t="s">
        <v>67</v>
      </c>
      <c r="AB49" s="13" t="s">
        <v>74</v>
      </c>
      <c r="AC49" s="13" t="s">
        <v>60</v>
      </c>
      <c r="AD49" s="13" t="s">
        <v>64</v>
      </c>
      <c r="AE49" s="13" t="s">
        <v>60</v>
      </c>
      <c r="AF49" s="13" t="s">
        <v>61</v>
      </c>
      <c r="AG49" s="13" t="s">
        <v>64</v>
      </c>
      <c r="AH49" s="13" t="s">
        <v>63</v>
      </c>
      <c r="AI49" s="13" t="s">
        <v>63</v>
      </c>
      <c r="AJ49" s="13" t="s">
        <v>64</v>
      </c>
      <c r="AK49" s="13" t="s">
        <v>61</v>
      </c>
      <c r="AL49" s="13" t="s">
        <v>63</v>
      </c>
      <c r="AM49" s="13" t="s">
        <v>63</v>
      </c>
      <c r="AN49" s="13" t="s">
        <v>65</v>
      </c>
      <c r="AO49" s="13" t="s">
        <v>63</v>
      </c>
      <c r="AP49" s="13" t="s">
        <v>60</v>
      </c>
      <c r="AQ49" s="13" t="s">
        <v>60</v>
      </c>
      <c r="AR49" s="13" t="s">
        <v>67</v>
      </c>
    </row>
    <row r="50" ht="15.75" customHeight="1">
      <c r="A50" s="10">
        <v>2.023905416E9</v>
      </c>
      <c r="B50" s="10" t="s">
        <v>159</v>
      </c>
      <c r="C50" s="10" t="s">
        <v>160</v>
      </c>
      <c r="D50" s="12">
        <f>IF(OR(UPPER(E50)="A",UPPER(E50)="B"),E4,0)+IF(UPPER(F50)=UPPER(F5),F4,0)+IF(G50="",0,IF(LEN(SUBSTITUTE(SUBSTITUTE(UPPER(G50),"C",""),"D",""))&gt;0,0,IF(AND(ISNUMBER(FIND("C",UPPER(G50))),ISNUMBER(FIND("D",UPPER(G50)))),G4,G4/2)))+IF(UPPER(H50)=UPPER(H5),H4,0)+IF(UPPER(I50)=UPPER(I5),I4,0)+IF(UPPER(J50)=UPPER(J5),J4,0)+IF(K50="",0,IF(LEN(SUBSTITUTE(SUBSTITUTE(UPPER(K50),"A",""),"C",""))&gt;0,0,IF(AND(ISNUMBER(FIND("A",UPPER(K50))),ISNUMBER(FIND("C",UPPER(K50)))),K4,K4/2)))+IF(UPPER(L50)=UPPER(L5),L4,0)+IF(UPPER(M50)=UPPER(M5),M4,0)+IF(UPPER(N50)=UPPER(N5),N4,0)+IF(O50="",0,IF(LEN(SUBSTITUTE(SUBSTITUTE(UPPER(O50),"A",""),"B",""))&gt;0,0,IF(AND(ISNUMBER(FIND("A",UPPER(O50))),ISNUMBER(FIND("B",UPPER(O50)))),O4,O4/2)))+IF(UPPER(P50)=UPPER(P5),P4,0)+IF(UPPER(Q50)=UPPER(Q5),Q4,0)+IF(UPPER(R50)=UPPER(R5),R4,0)+IF(UPPER(S50)=UPPER(S5),S4,0)+IF(UPPER(T50)=UPPER(T5),T4,0)+IF(U50="",0,IF(LEN(SUBSTITUTE(SUBSTITUTE(UPPER(U50),"A",""),"D",""))&gt;0,0,IF(AND(ISNUMBER(FIND("A",UPPER(U50))),ISNUMBER(FIND("D",UPPER(U50)))),U4,U4/2)))+IF(V50="",0,IF(LEN(SUBSTITUTE(SUBSTITUTE(UPPER(V50),"C",""),"D",""))&gt;0,0,IF(AND(ISNUMBER(FIND("C",UPPER(V50))),ISNUMBER(FIND("D",UPPER(V50)))),V4,V4/2)))+IF(UPPER(W50)=UPPER(W5),W4,0)+IF(UPPER(X50)=UPPER(X5),X4,0)+IF(UPPER(Y50)=UPPER(Y5),Y4,0)+IF(UPPER(Z50)=UPPER(Z5),Z4,0)+IF(AA50="",0,IF(LEN(SUBSTITUTE(SUBSTITUTE(UPPER(AA50),"C",""),"D",""))&gt;0,0,IF(AND(ISNUMBER(FIND("C",UPPER(AA50))),ISNUMBER(FIND("D",UPPER(AA50)))),AA4,AA4/2)))+IF(AB50="",0,IF(LEN(SUBSTITUTE(SUBSTITUTE(UPPER(AB50),"C",""),"D",""))&gt;0,0,IF(AND(ISNUMBER(FIND("C",UPPER(AB50))),ISNUMBER(FIND("D",UPPER(AB50)))),AB4,AB4/2)))+IF(UPPER(AC50)=UPPER(AC5),AC4,0)+IF(UPPER(AD50)=UPPER(AD5),AD4,0)+IF(UPPER(AE50)=UPPER(AE5),AE4,0)+IF(UPPER(AF50)=UPPER(AF5),AF4,0)+IF(UPPER(AG50)=UPPER(AG5),AG4,0)+IF(UPPER(AH50)=UPPER(AH5),AH4,0)+IF(AI50="",0,IF(LEN(SUBSTITUTE(SUBSTITUTE(UPPER(AI50),"A",""),"C",""))&gt;0,0,IF(AND(ISNUMBER(FIND("A",UPPER(AI50))),ISNUMBER(FIND("C",UPPER(AI50)))),AI4,AI4/2)))+IF(UPPER(AJ50)=UPPER(AJ5),AJ4,0)+IF(UPPER(AK50)=UPPER(AK5),AK4,0)+IF(UPPER(AL50)=UPPER(AL5),AL4,0)+IF(UPPER(AM50)=UPPER(AM5),AM4,0)+IF(AN50="",0,IF(LEN(SUBSTITUTE(SUBSTITUTE(UPPER(AN50),"A",""),"C",""))&gt;0,0,IF(AND(ISNUMBER(FIND("A",UPPER(AN50))),ISNUMBER(FIND("C",UPPER(AN50)))),AN4,AN4/2)))+IF(UPPER(AO50)=UPPER(AO5),AO4,0)+IF(UPPER(AP50)=UPPER(AP5),AP4,0)+IF(OR(UPPER(AQ50)="A",UPPER(AQ50)="B"),AQ4,0)+IF(AR50="",0,IF(LEN(SUBSTITUTE(SUBSTITUTE(UPPER(AR50),"A",""),"D",""))&gt;0,0,IF(AND(ISNUMBER(FIND("A",UPPER(AR50))),ISNUMBER(FIND("D",UPPER(AR50)))),AR4,AR4/2)))</f>
        <v>87.5</v>
      </c>
      <c r="E50" s="13" t="s">
        <v>60</v>
      </c>
      <c r="F50" s="13" t="s">
        <v>61</v>
      </c>
      <c r="G50" s="13" t="s">
        <v>62</v>
      </c>
      <c r="H50" s="13" t="s">
        <v>63</v>
      </c>
      <c r="I50" s="13" t="s">
        <v>60</v>
      </c>
      <c r="J50" s="13" t="s">
        <v>64</v>
      </c>
      <c r="K50" s="13" t="s">
        <v>65</v>
      </c>
      <c r="L50" s="13" t="s">
        <v>63</v>
      </c>
      <c r="M50" s="13" t="s">
        <v>61</v>
      </c>
      <c r="N50" s="13" t="s">
        <v>63</v>
      </c>
      <c r="O50" s="13" t="s">
        <v>66</v>
      </c>
      <c r="P50" s="13" t="s">
        <v>60</v>
      </c>
      <c r="Q50" s="13" t="s">
        <v>64</v>
      </c>
      <c r="R50" s="13" t="s">
        <v>61</v>
      </c>
      <c r="S50" s="13" t="s">
        <v>60</v>
      </c>
      <c r="T50" s="13" t="s">
        <v>64</v>
      </c>
      <c r="U50" s="13" t="s">
        <v>67</v>
      </c>
      <c r="V50" s="13" t="s">
        <v>62</v>
      </c>
      <c r="W50" s="13" t="s">
        <v>61</v>
      </c>
      <c r="X50" s="13" t="s">
        <v>63</v>
      </c>
      <c r="Y50" s="13" t="s">
        <v>61</v>
      </c>
      <c r="Z50" s="13" t="s">
        <v>63</v>
      </c>
      <c r="AA50" s="13" t="s">
        <v>62</v>
      </c>
      <c r="AB50" s="13" t="s">
        <v>67</v>
      </c>
      <c r="AC50" s="13" t="s">
        <v>60</v>
      </c>
      <c r="AD50" s="13" t="s">
        <v>64</v>
      </c>
      <c r="AE50" s="13" t="s">
        <v>60</v>
      </c>
      <c r="AF50" s="13" t="s">
        <v>61</v>
      </c>
      <c r="AG50" s="13" t="s">
        <v>64</v>
      </c>
      <c r="AH50" s="13" t="s">
        <v>63</v>
      </c>
      <c r="AI50" s="13" t="s">
        <v>65</v>
      </c>
      <c r="AJ50" s="13" t="s">
        <v>64</v>
      </c>
      <c r="AK50" s="13" t="s">
        <v>61</v>
      </c>
      <c r="AL50" s="13" t="s">
        <v>60</v>
      </c>
      <c r="AM50" s="13" t="s">
        <v>63</v>
      </c>
      <c r="AN50" s="13" t="s">
        <v>66</v>
      </c>
      <c r="AO50" s="13" t="s">
        <v>61</v>
      </c>
      <c r="AP50" s="13" t="s">
        <v>60</v>
      </c>
      <c r="AQ50" s="13" t="s">
        <v>60</v>
      </c>
      <c r="AR50" s="13" t="s">
        <v>67</v>
      </c>
    </row>
    <row r="51" ht="15.75" customHeight="1">
      <c r="A51" s="10">
        <v>2.023905315E9</v>
      </c>
      <c r="B51" s="10" t="s">
        <v>161</v>
      </c>
      <c r="C51" s="10" t="s">
        <v>162</v>
      </c>
      <c r="D51" s="12">
        <f>IF(OR(UPPER(E51)="A",UPPER(E51)="B"),E4,0)+IF(UPPER(F51)=UPPER(F5),F4,0)+IF(G51="",0,IF(LEN(SUBSTITUTE(SUBSTITUTE(UPPER(G51),"C",""),"D",""))&gt;0,0,IF(AND(ISNUMBER(FIND("C",UPPER(G51))),ISNUMBER(FIND("D",UPPER(G51)))),G4,G4/2)))+IF(UPPER(H51)=UPPER(H5),H4,0)+IF(UPPER(I51)=UPPER(I5),I4,0)+IF(UPPER(J51)=UPPER(J5),J4,0)+IF(K51="",0,IF(LEN(SUBSTITUTE(SUBSTITUTE(UPPER(K51),"A",""),"C",""))&gt;0,0,IF(AND(ISNUMBER(FIND("A",UPPER(K51))),ISNUMBER(FIND("C",UPPER(K51)))),K4,K4/2)))+IF(UPPER(L51)=UPPER(L5),L4,0)+IF(UPPER(M51)=UPPER(M5),M4,0)+IF(UPPER(N51)=UPPER(N5),N4,0)+IF(O51="",0,IF(LEN(SUBSTITUTE(SUBSTITUTE(UPPER(O51),"A",""),"B",""))&gt;0,0,IF(AND(ISNUMBER(FIND("A",UPPER(O51))),ISNUMBER(FIND("B",UPPER(O51)))),O4,O4/2)))+IF(UPPER(P51)=UPPER(P5),P4,0)+IF(UPPER(Q51)=UPPER(Q5),Q4,0)+IF(UPPER(R51)=UPPER(R5),R4,0)+IF(UPPER(S51)=UPPER(S5),S4,0)+IF(UPPER(T51)=UPPER(T5),T4,0)+IF(U51="",0,IF(LEN(SUBSTITUTE(SUBSTITUTE(UPPER(U51),"A",""),"D",""))&gt;0,0,IF(AND(ISNUMBER(FIND("A",UPPER(U51))),ISNUMBER(FIND("D",UPPER(U51)))),U4,U4/2)))+IF(V51="",0,IF(LEN(SUBSTITUTE(SUBSTITUTE(UPPER(V51),"C",""),"D",""))&gt;0,0,IF(AND(ISNUMBER(FIND("C",UPPER(V51))),ISNUMBER(FIND("D",UPPER(V51)))),V4,V4/2)))+IF(UPPER(W51)=UPPER(W5),W4,0)+IF(UPPER(X51)=UPPER(X5),X4,0)+IF(UPPER(Y51)=UPPER(Y5),Y4,0)+IF(UPPER(Z51)=UPPER(Z5),Z4,0)+IF(AA51="",0,IF(LEN(SUBSTITUTE(SUBSTITUTE(UPPER(AA51),"C",""),"D",""))&gt;0,0,IF(AND(ISNUMBER(FIND("C",UPPER(AA51))),ISNUMBER(FIND("D",UPPER(AA51)))),AA4,AA4/2)))+IF(AB51="",0,IF(LEN(SUBSTITUTE(SUBSTITUTE(UPPER(AB51),"C",""),"D",""))&gt;0,0,IF(AND(ISNUMBER(FIND("C",UPPER(AB51))),ISNUMBER(FIND("D",UPPER(AB51)))),AB4,AB4/2)))+IF(UPPER(AC51)=UPPER(AC5),AC4,0)+IF(UPPER(AD51)=UPPER(AD5),AD4,0)+IF(UPPER(AE51)=UPPER(AE5),AE4,0)+IF(UPPER(AF51)=UPPER(AF5),AF4,0)+IF(UPPER(AG51)=UPPER(AG5),AG4,0)+IF(UPPER(AH51)=UPPER(AH5),AH4,0)+IF(AI51="",0,IF(LEN(SUBSTITUTE(SUBSTITUTE(UPPER(AI51),"A",""),"C",""))&gt;0,0,IF(AND(ISNUMBER(FIND("A",UPPER(AI51))),ISNUMBER(FIND("C",UPPER(AI51)))),AI4,AI4/2)))+IF(UPPER(AJ51)=UPPER(AJ5),AJ4,0)+IF(UPPER(AK51)=UPPER(AK5),AK4,0)+IF(UPPER(AL51)=UPPER(AL5),AL4,0)+IF(UPPER(AM51)=UPPER(AM5),AM4,0)+IF(AN51="",0,IF(LEN(SUBSTITUTE(SUBSTITUTE(UPPER(AN51),"A",""),"C",""))&gt;0,0,IF(AND(ISNUMBER(FIND("A",UPPER(AN51))),ISNUMBER(FIND("C",UPPER(AN51)))),AN4,AN4/2)))+IF(UPPER(AO51)=UPPER(AO5),AO4,0)+IF(UPPER(AP51)=UPPER(AP5),AP4,0)+IF(OR(UPPER(AQ51)="A",UPPER(AQ51)="B"),AQ4,0)+IF(AR51="",0,IF(LEN(SUBSTITUTE(SUBSTITUTE(UPPER(AR51),"A",""),"D",""))&gt;0,0,IF(AND(ISNUMBER(FIND("A",UPPER(AR51))),ISNUMBER(FIND("D",UPPER(AR51)))),AR4,AR4/2)))</f>
        <v>87.5</v>
      </c>
      <c r="E51" s="13" t="s">
        <v>60</v>
      </c>
      <c r="F51" s="13" t="s">
        <v>61</v>
      </c>
      <c r="G51" s="13" t="s">
        <v>62</v>
      </c>
      <c r="H51" s="13" t="s">
        <v>63</v>
      </c>
      <c r="I51" s="13" t="s">
        <v>61</v>
      </c>
      <c r="J51" s="13" t="s">
        <v>64</v>
      </c>
      <c r="K51" s="13" t="s">
        <v>65</v>
      </c>
      <c r="L51" s="13" t="s">
        <v>63</v>
      </c>
      <c r="M51" s="13" t="s">
        <v>61</v>
      </c>
      <c r="N51" s="13" t="s">
        <v>63</v>
      </c>
      <c r="O51" s="13" t="s">
        <v>66</v>
      </c>
      <c r="P51" s="13" t="s">
        <v>60</v>
      </c>
      <c r="Q51" s="13" t="s">
        <v>64</v>
      </c>
      <c r="R51" s="13" t="s">
        <v>61</v>
      </c>
      <c r="S51" s="13" t="s">
        <v>63</v>
      </c>
      <c r="T51" s="13" t="s">
        <v>64</v>
      </c>
      <c r="U51" s="13" t="s">
        <v>67</v>
      </c>
      <c r="V51" s="13" t="s">
        <v>62</v>
      </c>
      <c r="W51" s="13" t="s">
        <v>60</v>
      </c>
      <c r="X51" s="13" t="s">
        <v>63</v>
      </c>
      <c r="Y51" s="13" t="s">
        <v>60</v>
      </c>
      <c r="Z51" s="13" t="s">
        <v>61</v>
      </c>
      <c r="AA51" s="13" t="s">
        <v>62</v>
      </c>
      <c r="AB51" s="13" t="s">
        <v>65</v>
      </c>
      <c r="AC51" s="13" t="s">
        <v>60</v>
      </c>
      <c r="AD51" s="13" t="s">
        <v>64</v>
      </c>
      <c r="AE51" s="13" t="s">
        <v>60</v>
      </c>
      <c r="AF51" s="13" t="s">
        <v>61</v>
      </c>
      <c r="AG51" s="13" t="s">
        <v>64</v>
      </c>
      <c r="AH51" s="13" t="s">
        <v>63</v>
      </c>
      <c r="AI51" s="13" t="s">
        <v>70</v>
      </c>
      <c r="AJ51" s="13" t="s">
        <v>64</v>
      </c>
      <c r="AK51" s="13" t="s">
        <v>61</v>
      </c>
      <c r="AL51" s="13" t="s">
        <v>63</v>
      </c>
      <c r="AM51" s="13" t="s">
        <v>63</v>
      </c>
      <c r="AN51" s="13" t="s">
        <v>65</v>
      </c>
      <c r="AO51" s="13" t="s">
        <v>61</v>
      </c>
      <c r="AP51" s="13" t="s">
        <v>60</v>
      </c>
      <c r="AQ51" s="13" t="s">
        <v>60</v>
      </c>
      <c r="AR51" s="13" t="s">
        <v>67</v>
      </c>
    </row>
    <row r="52" ht="15.75" customHeight="1">
      <c r="A52" s="10">
        <v>2.023901565E9</v>
      </c>
      <c r="B52" s="10" t="s">
        <v>163</v>
      </c>
      <c r="C52" s="10" t="s">
        <v>164</v>
      </c>
      <c r="D52" s="12">
        <f>IF(OR(UPPER(E52)="A",UPPER(E52)="B"),E4,0)+IF(UPPER(F52)=UPPER(F5),F4,0)+IF(G52="",0,IF(LEN(SUBSTITUTE(SUBSTITUTE(UPPER(G52),"C",""),"D",""))&gt;0,0,IF(AND(ISNUMBER(FIND("C",UPPER(G52))),ISNUMBER(FIND("D",UPPER(G52)))),G4,G4/2)))+IF(UPPER(H52)=UPPER(H5),H4,0)+IF(UPPER(I52)=UPPER(I5),I4,0)+IF(UPPER(J52)=UPPER(J5),J4,0)+IF(K52="",0,IF(LEN(SUBSTITUTE(SUBSTITUTE(UPPER(K52),"A",""),"C",""))&gt;0,0,IF(AND(ISNUMBER(FIND("A",UPPER(K52))),ISNUMBER(FIND("C",UPPER(K52)))),K4,K4/2)))+IF(UPPER(L52)=UPPER(L5),L4,0)+IF(UPPER(M52)=UPPER(M5),M4,0)+IF(UPPER(N52)=UPPER(N5),N4,0)+IF(O52="",0,IF(LEN(SUBSTITUTE(SUBSTITUTE(UPPER(O52),"A",""),"B",""))&gt;0,0,IF(AND(ISNUMBER(FIND("A",UPPER(O52))),ISNUMBER(FIND("B",UPPER(O52)))),O4,O4/2)))+IF(UPPER(P52)=UPPER(P5),P4,0)+IF(UPPER(Q52)=UPPER(Q5),Q4,0)+IF(UPPER(R52)=UPPER(R5),R4,0)+IF(UPPER(S52)=UPPER(S5),S4,0)+IF(UPPER(T52)=UPPER(T5),T4,0)+IF(U52="",0,IF(LEN(SUBSTITUTE(SUBSTITUTE(UPPER(U52),"A",""),"D",""))&gt;0,0,IF(AND(ISNUMBER(FIND("A",UPPER(U52))),ISNUMBER(FIND("D",UPPER(U52)))),U4,U4/2)))+IF(V52="",0,IF(LEN(SUBSTITUTE(SUBSTITUTE(UPPER(V52),"C",""),"D",""))&gt;0,0,IF(AND(ISNUMBER(FIND("C",UPPER(V52))),ISNUMBER(FIND("D",UPPER(V52)))),V4,V4/2)))+IF(UPPER(W52)=UPPER(W5),W4,0)+IF(UPPER(X52)=UPPER(X5),X4,0)+IF(UPPER(Y52)=UPPER(Y5),Y4,0)+IF(UPPER(Z52)=UPPER(Z5),Z4,0)+IF(AA52="",0,IF(LEN(SUBSTITUTE(SUBSTITUTE(UPPER(AA52),"C",""),"D",""))&gt;0,0,IF(AND(ISNUMBER(FIND("C",UPPER(AA52))),ISNUMBER(FIND("D",UPPER(AA52)))),AA4,AA4/2)))+IF(AB52="",0,IF(LEN(SUBSTITUTE(SUBSTITUTE(UPPER(AB52),"C",""),"D",""))&gt;0,0,IF(AND(ISNUMBER(FIND("C",UPPER(AB52))),ISNUMBER(FIND("D",UPPER(AB52)))),AB4,AB4/2)))+IF(UPPER(AC52)=UPPER(AC5),AC4,0)+IF(UPPER(AD52)=UPPER(AD5),AD4,0)+IF(UPPER(AE52)=UPPER(AE5),AE4,0)+IF(UPPER(AF52)=UPPER(AF5),AF4,0)+IF(UPPER(AG52)=UPPER(AG5),AG4,0)+IF(UPPER(AH52)=UPPER(AH5),AH4,0)+IF(AI52="",0,IF(LEN(SUBSTITUTE(SUBSTITUTE(UPPER(AI52),"A",""),"C",""))&gt;0,0,IF(AND(ISNUMBER(FIND("A",UPPER(AI52))),ISNUMBER(FIND("C",UPPER(AI52)))),AI4,AI4/2)))+IF(UPPER(AJ52)=UPPER(AJ5),AJ4,0)+IF(UPPER(AK52)=UPPER(AK5),AK4,0)+IF(UPPER(AL52)=UPPER(AL5),AL4,0)+IF(UPPER(AM52)=UPPER(AM5),AM4,0)+IF(AN52="",0,IF(LEN(SUBSTITUTE(SUBSTITUTE(UPPER(AN52),"A",""),"C",""))&gt;0,0,IF(AND(ISNUMBER(FIND("A",UPPER(AN52))),ISNUMBER(FIND("C",UPPER(AN52)))),AN4,AN4/2)))+IF(UPPER(AO52)=UPPER(AO5),AO4,0)+IF(UPPER(AP52)=UPPER(AP5),AP4,0)+IF(OR(UPPER(AQ52)="A",UPPER(AQ52)="B"),AQ4,0)+IF(AR52="",0,IF(LEN(SUBSTITUTE(SUBSTITUTE(UPPER(AR52),"A",""),"D",""))&gt;0,0,IF(AND(ISNUMBER(FIND("A",UPPER(AR52))),ISNUMBER(FIND("D",UPPER(AR52)))),AR4,AR4/2)))</f>
        <v>65</v>
      </c>
      <c r="E52" s="13" t="s">
        <v>60</v>
      </c>
      <c r="F52" s="13" t="s">
        <v>61</v>
      </c>
      <c r="G52" s="13" t="s">
        <v>62</v>
      </c>
      <c r="H52" s="13" t="s">
        <v>63</v>
      </c>
      <c r="I52" s="13" t="s">
        <v>61</v>
      </c>
      <c r="J52" s="13" t="s">
        <v>61</v>
      </c>
      <c r="K52" s="13" t="s">
        <v>126</v>
      </c>
      <c r="L52" s="13" t="s">
        <v>63</v>
      </c>
      <c r="M52" s="13" t="s">
        <v>61</v>
      </c>
      <c r="N52" s="13" t="s">
        <v>64</v>
      </c>
      <c r="O52" s="13" t="s">
        <v>66</v>
      </c>
      <c r="P52" s="13" t="s">
        <v>60</v>
      </c>
      <c r="Q52" s="13" t="s">
        <v>64</v>
      </c>
      <c r="R52" s="13" t="s">
        <v>61</v>
      </c>
      <c r="S52" s="13" t="s">
        <v>63</v>
      </c>
      <c r="T52" s="13" t="s">
        <v>64</v>
      </c>
      <c r="U52" s="13" t="s">
        <v>62</v>
      </c>
      <c r="V52" s="13" t="s">
        <v>66</v>
      </c>
      <c r="W52" s="13" t="s">
        <v>60</v>
      </c>
      <c r="X52" s="13" t="s">
        <v>61</v>
      </c>
      <c r="Y52" s="13" t="s">
        <v>60</v>
      </c>
      <c r="Z52" s="13" t="s">
        <v>63</v>
      </c>
      <c r="AA52" s="13" t="s">
        <v>74</v>
      </c>
      <c r="AB52" s="13" t="s">
        <v>73</v>
      </c>
      <c r="AC52" s="13" t="s">
        <v>60</v>
      </c>
      <c r="AD52" s="13" t="s">
        <v>64</v>
      </c>
      <c r="AE52" s="13" t="s">
        <v>60</v>
      </c>
      <c r="AF52" s="13" t="s">
        <v>61</v>
      </c>
      <c r="AG52" s="13" t="s">
        <v>64</v>
      </c>
      <c r="AH52" s="13" t="s">
        <v>63</v>
      </c>
      <c r="AI52" s="13" t="s">
        <v>65</v>
      </c>
      <c r="AJ52" s="13" t="s">
        <v>64</v>
      </c>
      <c r="AK52" s="13" t="s">
        <v>64</v>
      </c>
      <c r="AL52" s="13" t="s">
        <v>60</v>
      </c>
      <c r="AM52" s="13" t="s">
        <v>61</v>
      </c>
      <c r="AN52" s="13" t="s">
        <v>65</v>
      </c>
      <c r="AO52" s="13" t="s">
        <v>64</v>
      </c>
      <c r="AP52" s="13" t="s">
        <v>60</v>
      </c>
      <c r="AQ52" s="13" t="s">
        <v>60</v>
      </c>
      <c r="AR52" s="13" t="s">
        <v>67</v>
      </c>
    </row>
    <row r="53" ht="15.75" customHeight="1">
      <c r="A53" s="10">
        <v>2.023901564E9</v>
      </c>
      <c r="B53" s="10" t="s">
        <v>165</v>
      </c>
      <c r="C53" s="10" t="s">
        <v>166</v>
      </c>
      <c r="D53" s="12">
        <f>IF(OR(UPPER(E53)="A",UPPER(E53)="B"),E4,0)+IF(UPPER(F53)=UPPER(F5),F4,0)+IF(G53="",0,IF(LEN(SUBSTITUTE(SUBSTITUTE(UPPER(G53),"C",""),"D",""))&gt;0,0,IF(AND(ISNUMBER(FIND("C",UPPER(G53))),ISNUMBER(FIND("D",UPPER(G53)))),G4,G4/2)))+IF(UPPER(H53)=UPPER(H5),H4,0)+IF(UPPER(I53)=UPPER(I5),I4,0)+IF(UPPER(J53)=UPPER(J5),J4,0)+IF(K53="",0,IF(LEN(SUBSTITUTE(SUBSTITUTE(UPPER(K53),"A",""),"C",""))&gt;0,0,IF(AND(ISNUMBER(FIND("A",UPPER(K53))),ISNUMBER(FIND("C",UPPER(K53)))),K4,K4/2)))+IF(UPPER(L53)=UPPER(L5),L4,0)+IF(UPPER(M53)=UPPER(M5),M4,0)+IF(UPPER(N53)=UPPER(N5),N4,0)+IF(O53="",0,IF(LEN(SUBSTITUTE(SUBSTITUTE(UPPER(O53),"A",""),"B",""))&gt;0,0,IF(AND(ISNUMBER(FIND("A",UPPER(O53))),ISNUMBER(FIND("B",UPPER(O53)))),O4,O4/2)))+IF(UPPER(P53)=UPPER(P5),P4,0)+IF(UPPER(Q53)=UPPER(Q5),Q4,0)+IF(UPPER(R53)=UPPER(R5),R4,0)+IF(UPPER(S53)=UPPER(S5),S4,0)+IF(UPPER(T53)=UPPER(T5),T4,0)+IF(U53="",0,IF(LEN(SUBSTITUTE(SUBSTITUTE(UPPER(U53),"A",""),"D",""))&gt;0,0,IF(AND(ISNUMBER(FIND("A",UPPER(U53))),ISNUMBER(FIND("D",UPPER(U53)))),U4,U4/2)))+IF(V53="",0,IF(LEN(SUBSTITUTE(SUBSTITUTE(UPPER(V53),"C",""),"D",""))&gt;0,0,IF(AND(ISNUMBER(FIND("C",UPPER(V53))),ISNUMBER(FIND("D",UPPER(V53)))),V4,V4/2)))+IF(UPPER(W53)=UPPER(W5),W4,0)+IF(UPPER(X53)=UPPER(X5),X4,0)+IF(UPPER(Y53)=UPPER(Y5),Y4,0)+IF(UPPER(Z53)=UPPER(Z5),Z4,0)+IF(AA53="",0,IF(LEN(SUBSTITUTE(SUBSTITUTE(UPPER(AA53),"C",""),"D",""))&gt;0,0,IF(AND(ISNUMBER(FIND("C",UPPER(AA53))),ISNUMBER(FIND("D",UPPER(AA53)))),AA4,AA4/2)))+IF(AB53="",0,IF(LEN(SUBSTITUTE(SUBSTITUTE(UPPER(AB53),"C",""),"D",""))&gt;0,0,IF(AND(ISNUMBER(FIND("C",UPPER(AB53))),ISNUMBER(FIND("D",UPPER(AB53)))),AB4,AB4/2)))+IF(UPPER(AC53)=UPPER(AC5),AC4,0)+IF(UPPER(AD53)=UPPER(AD5),AD4,0)+IF(UPPER(AE53)=UPPER(AE5),AE4,0)+IF(UPPER(AF53)=UPPER(AF5),AF4,0)+IF(UPPER(AG53)=UPPER(AG5),AG4,0)+IF(UPPER(AH53)=UPPER(AH5),AH4,0)+IF(AI53="",0,IF(LEN(SUBSTITUTE(SUBSTITUTE(UPPER(AI53),"A",""),"C",""))&gt;0,0,IF(AND(ISNUMBER(FIND("A",UPPER(AI53))),ISNUMBER(FIND("C",UPPER(AI53)))),AI4,AI4/2)))+IF(UPPER(AJ53)=UPPER(AJ5),AJ4,0)+IF(UPPER(AK53)=UPPER(AK5),AK4,0)+IF(UPPER(AL53)=UPPER(AL5),AL4,0)+IF(UPPER(AM53)=UPPER(AM5),AM4,0)+IF(AN53="",0,IF(LEN(SUBSTITUTE(SUBSTITUTE(UPPER(AN53),"A",""),"C",""))&gt;0,0,IF(AND(ISNUMBER(FIND("A",UPPER(AN53))),ISNUMBER(FIND("C",UPPER(AN53)))),AN4,AN4/2)))+IF(UPPER(AO53)=UPPER(AO5),AO4,0)+IF(UPPER(AP53)=UPPER(AP5),AP4,0)+IF(OR(UPPER(AQ53)="A",UPPER(AQ53)="B"),AQ4,0)+IF(AR53="",0,IF(LEN(SUBSTITUTE(SUBSTITUTE(UPPER(AR53),"A",""),"D",""))&gt;0,0,IF(AND(ISNUMBER(FIND("A",UPPER(AR53))),ISNUMBER(FIND("D",UPPER(AR53)))),AR4,AR4/2)))</f>
        <v>52.5</v>
      </c>
      <c r="E53" s="13" t="s">
        <v>60</v>
      </c>
      <c r="F53" s="13" t="s">
        <v>64</v>
      </c>
      <c r="G53" s="13" t="s">
        <v>65</v>
      </c>
      <c r="H53" s="13" t="s">
        <v>63</v>
      </c>
      <c r="I53" s="13" t="s">
        <v>60</v>
      </c>
      <c r="J53" s="13" t="s">
        <v>64</v>
      </c>
      <c r="K53" s="13" t="s">
        <v>65</v>
      </c>
      <c r="L53" s="13" t="s">
        <v>63</v>
      </c>
      <c r="M53" s="13" t="s">
        <v>63</v>
      </c>
      <c r="N53" s="13" t="s">
        <v>64</v>
      </c>
      <c r="O53" s="13" t="s">
        <v>66</v>
      </c>
      <c r="P53" s="13" t="s">
        <v>64</v>
      </c>
      <c r="Q53" s="13" t="s">
        <v>64</v>
      </c>
      <c r="R53" s="13" t="s">
        <v>61</v>
      </c>
      <c r="S53" s="13" t="s">
        <v>61</v>
      </c>
      <c r="T53" s="13" t="s">
        <v>63</v>
      </c>
      <c r="U53" s="13" t="s">
        <v>74</v>
      </c>
      <c r="V53" s="13" t="s">
        <v>66</v>
      </c>
      <c r="W53" s="13" t="s">
        <v>63</v>
      </c>
      <c r="X53" s="13" t="s">
        <v>60</v>
      </c>
      <c r="Y53" s="13" t="s">
        <v>60</v>
      </c>
      <c r="Z53" s="13" t="s">
        <v>63</v>
      </c>
      <c r="AA53" s="13" t="s">
        <v>67</v>
      </c>
      <c r="AB53" s="13" t="s">
        <v>62</v>
      </c>
      <c r="AC53" s="13" t="s">
        <v>60</v>
      </c>
      <c r="AD53" s="13" t="s">
        <v>64</v>
      </c>
      <c r="AE53" s="13" t="s">
        <v>60</v>
      </c>
      <c r="AF53" s="13" t="s">
        <v>61</v>
      </c>
      <c r="AG53" s="13" t="s">
        <v>64</v>
      </c>
      <c r="AH53" s="13" t="s">
        <v>61</v>
      </c>
      <c r="AI53" s="13" t="s">
        <v>65</v>
      </c>
      <c r="AJ53" s="13" t="s">
        <v>63</v>
      </c>
      <c r="AK53" s="13" t="s">
        <v>61</v>
      </c>
      <c r="AL53" s="13" t="s">
        <v>60</v>
      </c>
      <c r="AM53" s="13" t="s">
        <v>64</v>
      </c>
      <c r="AN53" s="13" t="s">
        <v>65</v>
      </c>
      <c r="AO53" s="13" t="s">
        <v>60</v>
      </c>
      <c r="AP53" s="13" t="s">
        <v>61</v>
      </c>
      <c r="AQ53" s="13" t="s">
        <v>64</v>
      </c>
      <c r="AR53" s="13" t="s">
        <v>67</v>
      </c>
    </row>
    <row r="54" ht="15.75" customHeight="1">
      <c r="A54" s="16" t="s">
        <v>167</v>
      </c>
      <c r="D54" s="16">
        <f>AVERAGE(D7:D53)</f>
        <v>75.93085106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AR1"/>
    <mergeCell ref="A2:AR2"/>
  </mergeCells>
  <conditionalFormatting sqref="E47:AR47">
    <cfRule type="expression" dxfId="0" priority="1" stopIfTrue="1">
      <formula>AND(E47&lt;&gt;"", UPPER(E47)&lt;&gt;UPPER(E$5), LEN(REGEXREPLACE(UPPER(E47), "[" &amp; UPPER(E$5) &amp; "]", "")) = 0)</formula>
    </cfRule>
  </conditionalFormatting>
  <conditionalFormatting sqref="E47:AR47">
    <cfRule type="expression" dxfId="1" priority="2" stopIfTrue="1">
      <formula>UPPER(E47)=UPPER(E$5)</formula>
    </cfRule>
  </conditionalFormatting>
  <conditionalFormatting sqref="E47:AR47">
    <cfRule type="expression" dxfId="2" priority="3" stopIfTrue="1">
      <formula>AND(E47&lt;&gt;"", UPPER(E47)&lt;&gt;UPPER(E$5))</formula>
    </cfRule>
  </conditionalFormatting>
  <conditionalFormatting sqref="E47:AR47">
    <cfRule type="expression" dxfId="1" priority="4" stopIfTrue="1">
      <formula>UPPER(E47)=UPPER(E$5)</formula>
    </cfRule>
  </conditionalFormatting>
  <conditionalFormatting sqref="E47:AR47">
    <cfRule type="expression" dxfId="0" priority="5" stopIfTrue="1">
      <formula>AND(E47&lt;&gt;"", UPPER(E47)&lt;&gt;UPPER(E$5), ISNUMBER(SEARCH(LEFT(E47,1), E$5)), IF(LEN(E47)&gt;1, ISNUMBER(SEARCH(RIGHT(E47,1), E$5)), TRUE))</formula>
    </cfRule>
  </conditionalFormatting>
  <conditionalFormatting sqref="E47:AR47">
    <cfRule type="expression" dxfId="3" priority="6" stopIfTrue="1">
      <formula>AND(E47&lt;&gt;"", UPPER(E47)&lt;&gt;UPPER(E$5))</formula>
    </cfRule>
  </conditionalFormatting>
  <conditionalFormatting sqref="E47:AR47">
    <cfRule type="expression" dxfId="4" priority="7" stopIfTrue="1">
      <formula>AND(LEN(E47)=1, LEN(E$5)=2, ISNUMBER(SEARCH(UPPER(E47), UPPER(E$5))))</formula>
    </cfRule>
  </conditionalFormatting>
  <conditionalFormatting sqref="E47:AR47">
    <cfRule type="expression" dxfId="5" priority="8" stopIfTrue="1">
      <formula>UPPER(E47)=UPPER(E$5)</formula>
    </cfRule>
  </conditionalFormatting>
  <conditionalFormatting sqref="E47:AR47">
    <cfRule type="expression" dxfId="6" priority="9" stopIfTrue="1">
      <formula>UPPER(E47)=UPPER(E$5)</formula>
    </cfRule>
  </conditionalFormatting>
  <conditionalFormatting sqref="E47:AR47">
    <cfRule type="expression" dxfId="7" priority="10" stopIfTrue="1">
      <formula>AND(E47&lt;&gt;"", UPPER(E47)&lt;&gt;UPPER(E$5))</formula>
    </cfRule>
  </conditionalFormatting>
  <conditionalFormatting sqref="E47:AR47">
    <cfRule type="expression" dxfId="8" priority="11" stopIfTrue="1">
      <formula>AND(E47&lt;&gt;"", UPPER(E47)&lt;&gt;UPPER(E$5), LEN(REGEXREPLACE(UPPER(E47), "[" &amp; UPPER(E$5) &amp; "]", "")) = 0)</formula>
    </cfRule>
  </conditionalFormatting>
  <conditionalFormatting sqref="E47:AR47">
    <cfRule type="expression" dxfId="9" priority="12" stopIfTrue="1">
      <formula>AND(E47&lt;&gt;"", E47&lt;&gt;E$5)</formula>
    </cfRule>
  </conditionalFormatting>
  <conditionalFormatting sqref="E47:AR47">
    <cfRule type="expression" dxfId="10" priority="13" stopIfTrue="1">
      <formula>AND(E47&lt;&gt;"", E47&lt;&gt;E$5, IFERROR(SEARCH(LEFT(E47,1), E$5), 0), IF(LEN(E47)&gt;1, IFERROR(SEARCH(RIGHT(E47,1), E$5), 0), TRUE))</formula>
    </cfRule>
  </conditionalFormatting>
  <conditionalFormatting sqref="E47:AR47">
    <cfRule type="expression" dxfId="11" priority="14" stopIfTrue="1">
      <formula>E47=E$5</formula>
    </cfRule>
  </conditionalFormatting>
  <conditionalFormatting sqref="K47">
    <cfRule type="expression" dxfId="12" priority="15">
      <formula>AND(K47&lt;&gt;"",LEN(SUBSTITUTE(SUBSTITUTE(UPPER(K47),"B",""),"D",""))=0,AND(ISNUMBER(FIND("B",UPPER(K47))),ISNUMBER(FIND("D",UPPER(K47)))))</formula>
    </cfRule>
  </conditionalFormatting>
  <conditionalFormatting sqref="K47">
    <cfRule type="expression" dxfId="13" priority="16">
      <formula>AND(K47&lt;&gt;"",LEN(SUBSTITUTE(SUBSTITUTE(UPPER(K47),"B",""),"D",""))=0,NOT(AND(ISNUMBER(FIND("B",UPPER(K47))),ISNUMBER(FIND("D",UPPER(K47))))),OR(ISNUMBER(FIND("B",UPPER(K47))),ISNUMBER(FIND("D",UPPER(K47)))))</formula>
    </cfRule>
  </conditionalFormatting>
  <conditionalFormatting sqref="K47">
    <cfRule type="expression" dxfId="14" priority="17">
      <formula>AND(K47&lt;&gt;"",OR(LEN(SUBSTITUTE(SUBSTITUTE(UPPER(K47),"B",""),"D",""))&gt;0,NOT(OR(ISNUMBER(FIND("B",UPPER(K47))),ISNUMBER(FIND("D",UPPER(K47)))))))</formula>
    </cfRule>
  </conditionalFormatting>
  <conditionalFormatting sqref="O47">
    <cfRule type="expression" dxfId="12" priority="18">
      <formula>AND(O47&lt;&gt;"",LEN(SUBSTITUTE(SUBSTITUTE(UPPER(O47),"B",""),"C",""))=0,AND(ISNUMBER(FIND("B",UPPER(O47))),ISNUMBER(FIND("C",UPPER(O47)))))</formula>
    </cfRule>
  </conditionalFormatting>
  <conditionalFormatting sqref="O47">
    <cfRule type="expression" dxfId="13" priority="19">
      <formula>AND(O47&lt;&gt;"",LEN(SUBSTITUTE(SUBSTITUTE(UPPER(O47),"B",""),"C",""))=0,NOT(AND(ISNUMBER(FIND("B",UPPER(O47))),ISNUMBER(FIND("C",UPPER(O47))))),OR(ISNUMBER(FIND("B",UPPER(O47))),ISNUMBER(FIND("C",UPPER(O47)))))</formula>
    </cfRule>
  </conditionalFormatting>
  <conditionalFormatting sqref="O47">
    <cfRule type="expression" dxfId="14" priority="20">
      <formula>AND(O47&lt;&gt;"",OR(LEN(SUBSTITUTE(SUBSTITUTE(UPPER(O47),"B",""),"C",""))&gt;0,NOT(OR(ISNUMBER(FIND("B",UPPER(O47))),ISNUMBER(FIND("C",UPPER(O47)))))))</formula>
    </cfRule>
  </conditionalFormatting>
  <conditionalFormatting sqref="U47">
    <cfRule type="expression" dxfId="12" priority="21">
      <formula>AND(U47&lt;&gt;"",LEN(SUBSTITUTE(SUBSTITUTE(UPPER(U47),"B",""),"D",""))=0,AND(ISNUMBER(FIND("B",UPPER(U47))),ISNUMBER(FIND("D",UPPER(U47)))))</formula>
    </cfRule>
  </conditionalFormatting>
  <conditionalFormatting sqref="U47">
    <cfRule type="expression" dxfId="13" priority="22">
      <formula>AND(U47&lt;&gt;"",LEN(SUBSTITUTE(SUBSTITUTE(UPPER(U47),"B",""),"D",""))=0,NOT(AND(ISNUMBER(FIND("B",UPPER(U47))),ISNUMBER(FIND("D",UPPER(U47))))),OR(ISNUMBER(FIND("B",UPPER(U47))),ISNUMBER(FIND("D",UPPER(U47)))))</formula>
    </cfRule>
  </conditionalFormatting>
  <conditionalFormatting sqref="U47">
    <cfRule type="expression" dxfId="14" priority="23">
      <formula>AND(U47&lt;&gt;"",OR(LEN(SUBSTITUTE(SUBSTITUTE(UPPER(U47),"B",""),"D",""))&gt;0,NOT(OR(ISNUMBER(FIND("B",UPPER(U47))),ISNUMBER(FIND("D",UPPER(U47)))))))</formula>
    </cfRule>
  </conditionalFormatting>
  <conditionalFormatting sqref="AA47">
    <cfRule type="expression" dxfId="12" priority="24">
      <formula>AND(AA47&lt;&gt;"",LEN(SUBSTITUTE(SUBSTITUTE(UPPER(AA47),"B",""),"D",""))=0,AND(ISNUMBER(FIND("B",UPPER(AA47))),ISNUMBER(FIND("D",UPPER(AA47)))))</formula>
    </cfRule>
  </conditionalFormatting>
  <conditionalFormatting sqref="AA47">
    <cfRule type="expression" dxfId="13" priority="25">
      <formula>AND(AA47&lt;&gt;"",LEN(SUBSTITUTE(SUBSTITUTE(UPPER(AA47),"B",""),"D",""))=0,NOT(AND(ISNUMBER(FIND("B",UPPER(AA47))),ISNUMBER(FIND("D",UPPER(AA47))))),OR(ISNUMBER(FIND("B",UPPER(AA47))),ISNUMBER(FIND("D",UPPER(AA47)))))</formula>
    </cfRule>
  </conditionalFormatting>
  <conditionalFormatting sqref="AA47">
    <cfRule type="expression" dxfId="14" priority="26">
      <formula>AND(AA47&lt;&gt;"",OR(LEN(SUBSTITUTE(SUBSTITUTE(UPPER(AA47),"B",""),"D",""))&gt;0,NOT(OR(ISNUMBER(FIND("B",UPPER(AA47))),ISNUMBER(FIND("D",UPPER(AA47)))))))</formula>
    </cfRule>
  </conditionalFormatting>
  <conditionalFormatting sqref="AB47">
    <cfRule type="expression" dxfId="12" priority="27">
      <formula>AND(AB47&lt;&gt;"",LEN(SUBSTITUTE(SUBSTITUTE(UPPER(AB47),"B",""),"C",""))=0,AND(ISNUMBER(FIND("B",UPPER(AB47))),ISNUMBER(FIND("C",UPPER(AB47)))))</formula>
    </cfRule>
  </conditionalFormatting>
  <conditionalFormatting sqref="AB47">
    <cfRule type="expression" dxfId="13" priority="28">
      <formula>AND(AB47&lt;&gt;"",LEN(SUBSTITUTE(SUBSTITUTE(UPPER(AB47),"B",""),"C",""))=0,NOT(AND(ISNUMBER(FIND("B",UPPER(AB47))),ISNUMBER(FIND("C",UPPER(AB47))))),OR(ISNUMBER(FIND("B",UPPER(AB47))),ISNUMBER(FIND("C",UPPER(AB47)))))</formula>
    </cfRule>
  </conditionalFormatting>
  <conditionalFormatting sqref="AB47">
    <cfRule type="expression" dxfId="14" priority="29">
      <formula>AND(AB47&lt;&gt;"",OR(LEN(SUBSTITUTE(SUBSTITUTE(UPPER(AB47),"B",""),"C",""))&gt;0,NOT(OR(ISNUMBER(FIND("B",UPPER(AB47))),ISNUMBER(FIND("C",UPPER(AB47)))))))</formula>
    </cfRule>
  </conditionalFormatting>
  <conditionalFormatting sqref="AI47">
    <cfRule type="expression" dxfId="12" priority="30">
      <formula>AND(AI47&lt;&gt;"",LEN(SUBSTITUTE(SUBSTITUTE(UPPER(AI47),"B",""),"D",""))=0,AND(ISNUMBER(FIND("B",UPPER(AI47))),ISNUMBER(FIND("D",UPPER(AI47)))))</formula>
    </cfRule>
  </conditionalFormatting>
  <conditionalFormatting sqref="AI47">
    <cfRule type="expression" dxfId="13" priority="31">
      <formula>AND(AI47&lt;&gt;"",LEN(SUBSTITUTE(SUBSTITUTE(UPPER(AI47),"B",""),"D",""))=0,NOT(AND(ISNUMBER(FIND("B",UPPER(AI47))),ISNUMBER(FIND("D",UPPER(AI47))))),OR(ISNUMBER(FIND("B",UPPER(AI47))),ISNUMBER(FIND("D",UPPER(AI47)))))</formula>
    </cfRule>
  </conditionalFormatting>
  <conditionalFormatting sqref="AI47">
    <cfRule type="expression" dxfId="14" priority="32">
      <formula>AND(AI47&lt;&gt;"",OR(LEN(SUBSTITUTE(SUBSTITUTE(UPPER(AI47),"B",""),"D",""))&gt;0,NOT(OR(ISNUMBER(FIND("B",UPPER(AI47))),ISNUMBER(FIND("D",UPPER(AI47)))))))</formula>
    </cfRule>
  </conditionalFormatting>
  <conditionalFormatting sqref="AN47">
    <cfRule type="expression" dxfId="12" priority="33">
      <formula>AND(AN47&lt;&gt;"",LEN(SUBSTITUTE(SUBSTITUTE(UPPER(AN47),"B",""),"C",""))=0,AND(ISNUMBER(FIND("B",UPPER(AN47))),ISNUMBER(FIND("C",UPPER(AN47)))))</formula>
    </cfRule>
  </conditionalFormatting>
  <conditionalFormatting sqref="AN47">
    <cfRule type="expression" dxfId="13" priority="34">
      <formula>AND(AN47&lt;&gt;"",LEN(SUBSTITUTE(SUBSTITUTE(UPPER(AN47),"B",""),"C",""))=0,NOT(AND(ISNUMBER(FIND("B",UPPER(AN47))),ISNUMBER(FIND("C",UPPER(AN47))))),OR(ISNUMBER(FIND("B",UPPER(AN47))),ISNUMBER(FIND("C",UPPER(AN47)))))</formula>
    </cfRule>
  </conditionalFormatting>
  <conditionalFormatting sqref="AN47">
    <cfRule type="expression" dxfId="14" priority="35">
      <formula>AND(AN47&lt;&gt;"",OR(LEN(SUBSTITUTE(SUBSTITUTE(UPPER(AN47),"B",""),"C",""))&gt;0,NOT(OR(ISNUMBER(FIND("B",UPPER(AN47))),ISNUMBER(FIND("C",UPPER(AN47)))))))</formula>
    </cfRule>
  </conditionalFormatting>
  <conditionalFormatting sqref="AR47">
    <cfRule type="expression" dxfId="12" priority="36">
      <formula>AND(AR47&lt;&gt;"",LEN(SUBSTITUTE(SUBSTITUTE(UPPER(AR47),"B",""),"C",""))=0,AND(ISNUMBER(FIND("B",UPPER(AR47))),ISNUMBER(FIND("C",UPPER(AR47)))))</formula>
    </cfRule>
  </conditionalFormatting>
  <conditionalFormatting sqref="AR47">
    <cfRule type="expression" dxfId="13" priority="37">
      <formula>AND(AR47&lt;&gt;"",LEN(SUBSTITUTE(SUBSTITUTE(UPPER(AR47),"B",""),"C",""))=0,NOT(AND(ISNUMBER(FIND("B",UPPER(AR47))),ISNUMBER(FIND("C",UPPER(AR47))))),OR(ISNUMBER(FIND("B",UPPER(AR47))),ISNUMBER(FIND("C",UPPER(AR47)))))</formula>
    </cfRule>
  </conditionalFormatting>
  <conditionalFormatting sqref="AR47">
    <cfRule type="expression" dxfId="14" priority="38">
      <formula>AND(AR47&lt;&gt;"",OR(LEN(SUBSTITUTE(SUBSTITUTE(UPPER(AR47),"B",""),"C",""))&gt;0,NOT(OR(ISNUMBER(FIND("B",UPPER(AR47))),ISNUMBER(FIND("C",UPPER(AR47)))))))</formula>
    </cfRule>
  </conditionalFormatting>
  <conditionalFormatting sqref="E7:AR53">
    <cfRule type="expression" dxfId="1" priority="39" stopIfTrue="1">
      <formula>AND(E7&lt;&gt;"", OR(UPPER(E7)=UPPER(E$5), AND(ISNUMBER(SEARCH("/", E$5)), ISNUMBER(SEARCH(UPPER(E7), UPPER(E$5))), LEN(E7)=1)))</formula>
    </cfRule>
  </conditionalFormatting>
  <conditionalFormatting sqref="E7:AR53">
    <cfRule type="expression" dxfId="0" priority="40" stopIfTrue="1">
      <formula>AND(E7&lt;&gt;"", LEN(E$5)=2, LEN(E7)=1, ISNUMBER(SEARCH(UPPER(E7), UPPER(E$5))))</formula>
    </cfRule>
  </conditionalFormatting>
  <conditionalFormatting sqref="E7:AR53">
    <cfRule type="expression" dxfId="2" priority="41" stopIfTrue="1">
      <formula>E7&lt;&gt;""</formula>
    </cfRule>
  </conditionalFormatting>
  <conditionalFormatting sqref="E7:AR53">
    <cfRule type="expression" dxfId="2" priority="42" stopIfTrue="1">
      <formula>AND(E7&lt;&gt;"", LEN(REGEXREPLACE(UPPER(E7), "[" &amp; UPPER(E$5) &amp; "]", "")) &gt; 0)</formula>
    </cfRule>
  </conditionalFormatting>
  <conditionalFormatting sqref="E7:AR53">
    <cfRule type="expression" dxfId="0" priority="43" stopIfTrue="1">
      <formula>E7&lt;&gt;""</formula>
    </cfRule>
  </conditionalFormatting>
  <conditionalFormatting sqref="E7:AR53">
    <cfRule type="expression" dxfId="1" priority="44" stopIfTrue="1">
      <formula>AND(E7&lt;&gt;"", OR(UPPER(E7)=UPPER(E$5), AND(ISNUMBER(SEARCH("/", E$5)), ISNUMBER(SEARCH(UPPER(E7), UPPER(E$5))))))</formula>
    </cfRule>
  </conditionalFormatting>
  <conditionalFormatting sqref="E7:AR53">
    <cfRule type="expression" dxfId="0" priority="45" stopIfTrue="1">
      <formula>E7&lt;&gt;""</formula>
    </cfRule>
  </conditionalFormatting>
  <conditionalFormatting sqref="E7:AR53">
    <cfRule type="expression" dxfId="2" priority="46" stopIfTrue="1">
      <formula>AND(E7&lt;&gt;"", LEN(REGEXREPLACE(UPPER(E7), "[" &amp; UPPER(E$5) &amp; "]", "")) &gt; 0)</formula>
    </cfRule>
  </conditionalFormatting>
  <conditionalFormatting sqref="E7:AR53">
    <cfRule type="expression" dxfId="1" priority="47" stopIfTrue="1">
      <formula>AND(E7&lt;&gt;"", UPPER(E7)=UPPER(E$5))</formula>
    </cfRule>
  </conditionalFormatting>
  <conditionalFormatting sqref="E7:E53">
    <cfRule type="expression" dxfId="12" priority="48">
      <formula>AND(E7&lt;&gt;"",OR(UPPER(E7)="A",UPPER(E7)="B"))</formula>
    </cfRule>
  </conditionalFormatting>
  <conditionalFormatting sqref="E7:E53">
    <cfRule type="expression" dxfId="14" priority="49">
      <formula>AND(E7&lt;&gt;"",NOT(OR(UPPER(E7)="A",UPPER(E7)="B")))</formula>
    </cfRule>
  </conditionalFormatting>
  <conditionalFormatting sqref="F7:F53 AQ47">
    <cfRule type="expression" dxfId="12" priority="50">
      <formula>AND(F7&lt;&gt;"",UPPER(F7)=UPPER(F5))</formula>
    </cfRule>
  </conditionalFormatting>
  <conditionalFormatting sqref="F7:F53 AQ47">
    <cfRule type="expression" dxfId="14" priority="51">
      <formula>AND(F7&lt;&gt;"",UPPER(F7)&lt;&gt;UPPER(F5))</formula>
    </cfRule>
  </conditionalFormatting>
  <conditionalFormatting sqref="G7:G53">
    <cfRule type="expression" dxfId="12" priority="52">
      <formula>AND(G7&lt;&gt;"",LEN(SUBSTITUTE(SUBSTITUTE(UPPER(G7),"C",""),"D",""))=0,AND(ISNUMBER(FIND("C",UPPER(G7))),ISNUMBER(FIND("D",UPPER(G7)))))</formula>
    </cfRule>
  </conditionalFormatting>
  <conditionalFormatting sqref="G7:G53">
    <cfRule type="expression" dxfId="13" priority="53">
      <formula>AND(G7&lt;&gt;"",LEN(SUBSTITUTE(SUBSTITUTE(UPPER(G7),"C",""),"D",""))=0,NOT(AND(ISNUMBER(FIND("C",UPPER(G7))),ISNUMBER(FIND("D",UPPER(G7))))),OR(ISNUMBER(FIND("C",UPPER(G7))),ISNUMBER(FIND("D",UPPER(G7)))))</formula>
    </cfRule>
  </conditionalFormatting>
  <conditionalFormatting sqref="G7:G53">
    <cfRule type="expression" dxfId="14" priority="54">
      <formula>AND(G7&lt;&gt;"",OR(LEN(SUBSTITUTE(SUBSTITUTE(UPPER(G7),"C",""),"D",""))&gt;0,NOT(OR(ISNUMBER(FIND("C",UPPER(G7))),ISNUMBER(FIND("D",UPPER(G7)))))))</formula>
    </cfRule>
  </conditionalFormatting>
  <conditionalFormatting sqref="H7:H53">
    <cfRule type="expression" dxfId="12" priority="55">
      <formula>AND(H7&lt;&gt;"",UPPER(H7)=UPPER(H5))</formula>
    </cfRule>
  </conditionalFormatting>
  <conditionalFormatting sqref="H7:H53">
    <cfRule type="expression" dxfId="14" priority="56">
      <formula>AND(H7&lt;&gt;"",UPPER(H7)&lt;&gt;UPPER(H5))</formula>
    </cfRule>
  </conditionalFormatting>
  <conditionalFormatting sqref="I7:I53">
    <cfRule type="expression" dxfId="12" priority="57">
      <formula>AND(I7&lt;&gt;"",UPPER(I7)=UPPER(I5))</formula>
    </cfRule>
  </conditionalFormatting>
  <conditionalFormatting sqref="I7:I53">
    <cfRule type="expression" dxfId="14" priority="58">
      <formula>AND(I7&lt;&gt;"",UPPER(I7)&lt;&gt;UPPER(I5))</formula>
    </cfRule>
  </conditionalFormatting>
  <conditionalFormatting sqref="J7:J53">
    <cfRule type="expression" dxfId="12" priority="59">
      <formula>AND(J7&lt;&gt;"",UPPER(J7)=UPPER(J5))</formula>
    </cfRule>
  </conditionalFormatting>
  <conditionalFormatting sqref="J7:J53">
    <cfRule type="expression" dxfId="14" priority="60">
      <formula>AND(J7&lt;&gt;"",UPPER(J7)&lt;&gt;UPPER(J5))</formula>
    </cfRule>
  </conditionalFormatting>
  <conditionalFormatting sqref="K7:K53">
    <cfRule type="expression" dxfId="12" priority="61">
      <formula>AND(K7&lt;&gt;"",LEN(SUBSTITUTE(SUBSTITUTE(UPPER(K7),"A",""),"C",""))=0,AND(ISNUMBER(FIND("A",UPPER(K7))),ISNUMBER(FIND("C",UPPER(K7)))))</formula>
    </cfRule>
  </conditionalFormatting>
  <conditionalFormatting sqref="K7:K53">
    <cfRule type="expression" dxfId="13" priority="62">
      <formula>AND(K7&lt;&gt;"",LEN(SUBSTITUTE(SUBSTITUTE(UPPER(K7),"A",""),"C",""))=0,NOT(AND(ISNUMBER(FIND("A",UPPER(K7))),ISNUMBER(FIND("C",UPPER(K7))))),OR(ISNUMBER(FIND("A",UPPER(K7))),ISNUMBER(FIND("C",UPPER(K7)))))</formula>
    </cfRule>
  </conditionalFormatting>
  <conditionalFormatting sqref="K7:K53">
    <cfRule type="expression" dxfId="14" priority="63">
      <formula>AND(K7&lt;&gt;"",OR(LEN(SUBSTITUTE(SUBSTITUTE(UPPER(K7),"A",""),"C",""))&gt;0,NOT(OR(ISNUMBER(FIND("A",UPPER(K7))),ISNUMBER(FIND("C",UPPER(K7)))))))</formula>
    </cfRule>
  </conditionalFormatting>
  <conditionalFormatting sqref="L7:L53">
    <cfRule type="expression" dxfId="12" priority="64">
      <formula>AND(L7&lt;&gt;"",UPPER(L7)=UPPER(L5))</formula>
    </cfRule>
  </conditionalFormatting>
  <conditionalFormatting sqref="L7:L53">
    <cfRule type="expression" dxfId="14" priority="65">
      <formula>AND(L7&lt;&gt;"",UPPER(L7)&lt;&gt;UPPER(L5))</formula>
    </cfRule>
  </conditionalFormatting>
  <conditionalFormatting sqref="M7:M53">
    <cfRule type="expression" dxfId="12" priority="66">
      <formula>AND(M7&lt;&gt;"",UPPER(M7)=UPPER(M5))</formula>
    </cfRule>
  </conditionalFormatting>
  <conditionalFormatting sqref="M7:M53">
    <cfRule type="expression" dxfId="14" priority="67">
      <formula>AND(M7&lt;&gt;"",UPPER(M7)&lt;&gt;UPPER(M5))</formula>
    </cfRule>
  </conditionalFormatting>
  <conditionalFormatting sqref="N7:N53">
    <cfRule type="expression" dxfId="12" priority="68">
      <formula>AND(N7&lt;&gt;"",UPPER(N7)=UPPER(N5))</formula>
    </cfRule>
  </conditionalFormatting>
  <conditionalFormatting sqref="N7:N53">
    <cfRule type="expression" dxfId="14" priority="69">
      <formula>AND(N7&lt;&gt;"",UPPER(N7)&lt;&gt;UPPER(N5))</formula>
    </cfRule>
  </conditionalFormatting>
  <conditionalFormatting sqref="O7:O53 V47">
    <cfRule type="expression" dxfId="12" priority="70">
      <formula>AND(O7&lt;&gt;"",LEN(SUBSTITUTE(SUBSTITUTE(UPPER(O7),"A",""),"B",""))=0,AND(ISNUMBER(FIND("A",UPPER(O7))),ISNUMBER(FIND("B",UPPER(O7)))))</formula>
    </cfRule>
  </conditionalFormatting>
  <conditionalFormatting sqref="O7:O53 V47">
    <cfRule type="expression" dxfId="13" priority="71">
      <formula>AND(O7&lt;&gt;"",LEN(SUBSTITUTE(SUBSTITUTE(UPPER(O7),"A",""),"B",""))=0,NOT(AND(ISNUMBER(FIND("A",UPPER(O7))),ISNUMBER(FIND("B",UPPER(O7))))),OR(ISNUMBER(FIND("A",UPPER(O7))),ISNUMBER(FIND("B",UPPER(O7)))))</formula>
    </cfRule>
  </conditionalFormatting>
  <conditionalFormatting sqref="O7:O53 V47">
    <cfRule type="expression" dxfId="14" priority="72">
      <formula>AND(O7&lt;&gt;"",OR(LEN(SUBSTITUTE(SUBSTITUTE(UPPER(O7),"A",""),"B",""))&gt;0,NOT(OR(ISNUMBER(FIND("A",UPPER(O7))),ISNUMBER(FIND("B",UPPER(O7)))))))</formula>
    </cfRule>
  </conditionalFormatting>
  <conditionalFormatting sqref="P7:P53">
    <cfRule type="expression" dxfId="12" priority="73">
      <formula>AND(P7&lt;&gt;"",UPPER(P7)=UPPER(P5))</formula>
    </cfRule>
  </conditionalFormatting>
  <conditionalFormatting sqref="P7:P53">
    <cfRule type="expression" dxfId="14" priority="74">
      <formula>AND(P7&lt;&gt;"",UPPER(P7)&lt;&gt;UPPER(P5))</formula>
    </cfRule>
  </conditionalFormatting>
  <conditionalFormatting sqref="Q7:Q53">
    <cfRule type="expression" dxfId="12" priority="75">
      <formula>AND(Q7&lt;&gt;"",UPPER(Q7)=UPPER(Q5))</formula>
    </cfRule>
  </conditionalFormatting>
  <conditionalFormatting sqref="Q7:Q53">
    <cfRule type="expression" dxfId="14" priority="76">
      <formula>AND(Q7&lt;&gt;"",UPPER(Q7)&lt;&gt;UPPER(Q5))</formula>
    </cfRule>
  </conditionalFormatting>
  <conditionalFormatting sqref="R7:R53">
    <cfRule type="expression" dxfId="12" priority="77">
      <formula>AND(R7&lt;&gt;"",UPPER(R7)=UPPER(R5))</formula>
    </cfRule>
  </conditionalFormatting>
  <conditionalFormatting sqref="R7:R53">
    <cfRule type="expression" dxfId="14" priority="78">
      <formula>AND(R7&lt;&gt;"",UPPER(R7)&lt;&gt;UPPER(R5))</formula>
    </cfRule>
  </conditionalFormatting>
  <conditionalFormatting sqref="S7:S53">
    <cfRule type="expression" dxfId="12" priority="79">
      <formula>AND(S7&lt;&gt;"",UPPER(S7)=UPPER(S5))</formula>
    </cfRule>
  </conditionalFormatting>
  <conditionalFormatting sqref="S7:S53">
    <cfRule type="expression" dxfId="14" priority="80">
      <formula>AND(S7&lt;&gt;"",UPPER(S7)&lt;&gt;UPPER(S5))</formula>
    </cfRule>
  </conditionalFormatting>
  <conditionalFormatting sqref="T7:T53">
    <cfRule type="expression" dxfId="12" priority="81">
      <formula>AND(T7&lt;&gt;"",UPPER(T7)=UPPER(T5))</formula>
    </cfRule>
  </conditionalFormatting>
  <conditionalFormatting sqref="T7:T53">
    <cfRule type="expression" dxfId="14" priority="82">
      <formula>AND(T7&lt;&gt;"",UPPER(T7)&lt;&gt;UPPER(T5))</formula>
    </cfRule>
  </conditionalFormatting>
  <conditionalFormatting sqref="U7:U53 G47">
    <cfRule type="expression" dxfId="12" priority="83">
      <formula>AND(U7&lt;&gt;"",LEN(SUBSTITUTE(SUBSTITUTE(UPPER(U7),"A",""),"D",""))=0,AND(ISNUMBER(FIND("A",UPPER(U7))),ISNUMBER(FIND("D",UPPER(U7)))))</formula>
    </cfRule>
  </conditionalFormatting>
  <conditionalFormatting sqref="U7:U53 G47">
    <cfRule type="expression" dxfId="13" priority="84">
      <formula>AND(U7&lt;&gt;"",LEN(SUBSTITUTE(SUBSTITUTE(UPPER(U7),"A",""),"D",""))=0,NOT(AND(ISNUMBER(FIND("A",UPPER(U7))),ISNUMBER(FIND("D",UPPER(U7))))),OR(ISNUMBER(FIND("A",UPPER(U7))),ISNUMBER(FIND("D",UPPER(U7)))))</formula>
    </cfRule>
  </conditionalFormatting>
  <conditionalFormatting sqref="U7:U53 G47">
    <cfRule type="expression" dxfId="14" priority="85">
      <formula>AND(U7&lt;&gt;"",OR(LEN(SUBSTITUTE(SUBSTITUTE(UPPER(U7),"A",""),"D",""))&gt;0,NOT(OR(ISNUMBER(FIND("A",UPPER(U7))),ISNUMBER(FIND("D",UPPER(U7)))))))</formula>
    </cfRule>
  </conditionalFormatting>
  <conditionalFormatting sqref="V7:V53">
    <cfRule type="expression" dxfId="12" priority="86">
      <formula>AND(V7&lt;&gt;"",LEN(SUBSTITUTE(SUBSTITUTE(UPPER(V7),"C",""),"D",""))=0,AND(ISNUMBER(FIND("C",UPPER(V7))),ISNUMBER(FIND("D",UPPER(V7)))))</formula>
    </cfRule>
  </conditionalFormatting>
  <conditionalFormatting sqref="V7:V53">
    <cfRule type="expression" dxfId="13" priority="87">
      <formula>AND(V7&lt;&gt;"",LEN(SUBSTITUTE(SUBSTITUTE(UPPER(V7),"C",""),"D",""))=0,NOT(AND(ISNUMBER(FIND("C",UPPER(V7))),ISNUMBER(FIND("D",UPPER(V7))))),OR(ISNUMBER(FIND("C",UPPER(V7))),ISNUMBER(FIND("D",UPPER(V7)))))</formula>
    </cfRule>
  </conditionalFormatting>
  <conditionalFormatting sqref="V7:V53">
    <cfRule type="expression" dxfId="14" priority="88">
      <formula>AND(V7&lt;&gt;"",OR(LEN(SUBSTITUTE(SUBSTITUTE(UPPER(V7),"C",""),"D",""))&gt;0,NOT(OR(ISNUMBER(FIND("C",UPPER(V7))),ISNUMBER(FIND("D",UPPER(V7)))))))</formula>
    </cfRule>
  </conditionalFormatting>
  <conditionalFormatting sqref="W7:W53">
    <cfRule type="expression" dxfId="12" priority="89">
      <formula>AND(W7&lt;&gt;"",UPPER(W7)=UPPER(W5))</formula>
    </cfRule>
  </conditionalFormatting>
  <conditionalFormatting sqref="W7:W53">
    <cfRule type="expression" dxfId="14" priority="90">
      <formula>AND(W7&lt;&gt;"",UPPER(W7)&lt;&gt;UPPER(W5))</formula>
    </cfRule>
  </conditionalFormatting>
  <conditionalFormatting sqref="X7:X53">
    <cfRule type="expression" dxfId="12" priority="91">
      <formula>AND(X7&lt;&gt;"",UPPER(X7)=UPPER(X5))</formula>
    </cfRule>
  </conditionalFormatting>
  <conditionalFormatting sqref="X7:X53">
    <cfRule type="expression" dxfId="14" priority="92">
      <formula>AND(X7&lt;&gt;"",UPPER(X7)&lt;&gt;UPPER(X5))</formula>
    </cfRule>
  </conditionalFormatting>
  <conditionalFormatting sqref="Y7:Y53">
    <cfRule type="expression" dxfId="12" priority="93">
      <formula>AND(Y7&lt;&gt;"",UPPER(Y7)=UPPER(Y5))</formula>
    </cfRule>
  </conditionalFormatting>
  <conditionalFormatting sqref="Y7:Y53">
    <cfRule type="expression" dxfId="14" priority="94">
      <formula>AND(Y7&lt;&gt;"",UPPER(Y7)&lt;&gt;UPPER(Y5))</formula>
    </cfRule>
  </conditionalFormatting>
  <conditionalFormatting sqref="Z7:Z53">
    <cfRule type="expression" dxfId="12" priority="95">
      <formula>AND(Z7&lt;&gt;"",UPPER(Z7)=UPPER(Z5))</formula>
    </cfRule>
  </conditionalFormatting>
  <conditionalFormatting sqref="Z7:Z53">
    <cfRule type="expression" dxfId="14" priority="96">
      <formula>AND(Z7&lt;&gt;"",UPPER(Z7)&lt;&gt;UPPER(Z5))</formula>
    </cfRule>
  </conditionalFormatting>
  <conditionalFormatting sqref="AA7:AA53">
    <cfRule type="expression" dxfId="12" priority="97">
      <formula>AND(AA7&lt;&gt;"",LEN(SUBSTITUTE(SUBSTITUTE(UPPER(AA7),"C",""),"D",""))=0,AND(ISNUMBER(FIND("C",UPPER(AA7))),ISNUMBER(FIND("D",UPPER(AA7)))))</formula>
    </cfRule>
  </conditionalFormatting>
  <conditionalFormatting sqref="AA7:AA53">
    <cfRule type="expression" dxfId="13" priority="98">
      <formula>AND(AA7&lt;&gt;"",LEN(SUBSTITUTE(SUBSTITUTE(UPPER(AA7),"C",""),"D",""))=0,NOT(AND(ISNUMBER(FIND("C",UPPER(AA7))),ISNUMBER(FIND("D",UPPER(AA7))))),OR(ISNUMBER(FIND("C",UPPER(AA7))),ISNUMBER(FIND("D",UPPER(AA7)))))</formula>
    </cfRule>
  </conditionalFormatting>
  <conditionalFormatting sqref="AA7:AA53">
    <cfRule type="expression" dxfId="14" priority="99">
      <formula>AND(AA7&lt;&gt;"",OR(LEN(SUBSTITUTE(SUBSTITUTE(UPPER(AA7),"C",""),"D",""))&gt;0,NOT(OR(ISNUMBER(FIND("C",UPPER(AA7))),ISNUMBER(FIND("D",UPPER(AA7)))))))</formula>
    </cfRule>
  </conditionalFormatting>
  <conditionalFormatting sqref="AB7:AB53">
    <cfRule type="expression" dxfId="12" priority="100">
      <formula>AND(AB7&lt;&gt;"",LEN(SUBSTITUTE(SUBSTITUTE(UPPER(AB7),"C",""),"D",""))=0,AND(ISNUMBER(FIND("C",UPPER(AB7))),ISNUMBER(FIND("D",UPPER(AB7)))))</formula>
    </cfRule>
  </conditionalFormatting>
  <conditionalFormatting sqref="AB7:AB53">
    <cfRule type="expression" dxfId="13" priority="101">
      <formula>AND(AB7&lt;&gt;"",LEN(SUBSTITUTE(SUBSTITUTE(UPPER(AB7),"C",""),"D",""))=0,NOT(AND(ISNUMBER(FIND("C",UPPER(AB7))),ISNUMBER(FIND("D",UPPER(AB7))))),OR(ISNUMBER(FIND("C",UPPER(AB7))),ISNUMBER(FIND("D",UPPER(AB7)))))</formula>
    </cfRule>
  </conditionalFormatting>
  <conditionalFormatting sqref="AB7:AB53">
    <cfRule type="expression" dxfId="14" priority="102">
      <formula>AND(AB7&lt;&gt;"",OR(LEN(SUBSTITUTE(SUBSTITUTE(UPPER(AB7),"C",""),"D",""))&gt;0,NOT(OR(ISNUMBER(FIND("C",UPPER(AB7))),ISNUMBER(FIND("D",UPPER(AB7)))))))</formula>
    </cfRule>
  </conditionalFormatting>
  <conditionalFormatting sqref="AC7:AC53">
    <cfRule type="expression" dxfId="12" priority="103">
      <formula>AND(AC7&lt;&gt;"",UPPER(AC7)=UPPER(AC5))</formula>
    </cfRule>
  </conditionalFormatting>
  <conditionalFormatting sqref="AC7:AC53">
    <cfRule type="expression" dxfId="14" priority="104">
      <formula>AND(AC7&lt;&gt;"",UPPER(AC7)&lt;&gt;UPPER(AC5))</formula>
    </cfRule>
  </conditionalFormatting>
  <conditionalFormatting sqref="AD7:AD53">
    <cfRule type="expression" dxfId="12" priority="105">
      <formula>AND(AD7&lt;&gt;"",UPPER(AD7)=UPPER(AD5))</formula>
    </cfRule>
  </conditionalFormatting>
  <conditionalFormatting sqref="AD7:AD53">
    <cfRule type="expression" dxfId="14" priority="106">
      <formula>AND(AD7&lt;&gt;"",UPPER(AD7)&lt;&gt;UPPER(AD5))</formula>
    </cfRule>
  </conditionalFormatting>
  <conditionalFormatting sqref="AE7:AE53">
    <cfRule type="expression" dxfId="12" priority="107">
      <formula>AND(AE7&lt;&gt;"",UPPER(AE7)=UPPER(AE5))</formula>
    </cfRule>
  </conditionalFormatting>
  <conditionalFormatting sqref="AE7:AE53">
    <cfRule type="expression" dxfId="14" priority="108">
      <formula>AND(AE7&lt;&gt;"",UPPER(AE7)&lt;&gt;UPPER(AE5))</formula>
    </cfRule>
  </conditionalFormatting>
  <conditionalFormatting sqref="AF7:AF53">
    <cfRule type="expression" dxfId="12" priority="109">
      <formula>AND(AF7&lt;&gt;"",UPPER(AF7)=UPPER(AF5))</formula>
    </cfRule>
  </conditionalFormatting>
  <conditionalFormatting sqref="AF7:AF53">
    <cfRule type="expression" dxfId="14" priority="110">
      <formula>AND(AF7&lt;&gt;"",UPPER(AF7)&lt;&gt;UPPER(AF5))</formula>
    </cfRule>
  </conditionalFormatting>
  <conditionalFormatting sqref="AG7:AG53">
    <cfRule type="expression" dxfId="12" priority="111">
      <formula>AND(AG7&lt;&gt;"",UPPER(AG7)=UPPER(AG5))</formula>
    </cfRule>
  </conditionalFormatting>
  <conditionalFormatting sqref="AG7:AG53">
    <cfRule type="expression" dxfId="14" priority="112">
      <formula>AND(AG7&lt;&gt;"",UPPER(AG7)&lt;&gt;UPPER(AG5))</formula>
    </cfRule>
  </conditionalFormatting>
  <conditionalFormatting sqref="AH7:AH53">
    <cfRule type="expression" dxfId="12" priority="113">
      <formula>AND(AH7&lt;&gt;"",UPPER(AH7)=UPPER(AH5))</formula>
    </cfRule>
  </conditionalFormatting>
  <conditionalFormatting sqref="AH7:AH53">
    <cfRule type="expression" dxfId="14" priority="114">
      <formula>AND(AH7&lt;&gt;"",UPPER(AH7)&lt;&gt;UPPER(AH5))</formula>
    </cfRule>
  </conditionalFormatting>
  <conditionalFormatting sqref="AI7:AI53">
    <cfRule type="expression" dxfId="12" priority="115">
      <formula>AND(AI7&lt;&gt;"",LEN(SUBSTITUTE(SUBSTITUTE(UPPER(AI7),"A",""),"C",""))=0,AND(ISNUMBER(FIND("A",UPPER(AI7))),ISNUMBER(FIND("C",UPPER(AI7)))))</formula>
    </cfRule>
  </conditionalFormatting>
  <conditionalFormatting sqref="AI7:AI53">
    <cfRule type="expression" dxfId="13" priority="116">
      <formula>AND(AI7&lt;&gt;"",LEN(SUBSTITUTE(SUBSTITUTE(UPPER(AI7),"A",""),"C",""))=0,NOT(AND(ISNUMBER(FIND("A",UPPER(AI7))),ISNUMBER(FIND("C",UPPER(AI7))))),OR(ISNUMBER(FIND("A",UPPER(AI7))),ISNUMBER(FIND("C",UPPER(AI7)))))</formula>
    </cfRule>
  </conditionalFormatting>
  <conditionalFormatting sqref="AI7:AI53">
    <cfRule type="expression" dxfId="14" priority="117">
      <formula>AND(AI7&lt;&gt;"",OR(LEN(SUBSTITUTE(SUBSTITUTE(UPPER(AI7),"A",""),"C",""))&gt;0,NOT(OR(ISNUMBER(FIND("A",UPPER(AI7))),ISNUMBER(FIND("C",UPPER(AI7)))))))</formula>
    </cfRule>
  </conditionalFormatting>
  <conditionalFormatting sqref="AJ7:AJ53">
    <cfRule type="expression" dxfId="12" priority="118">
      <formula>AND(AJ7&lt;&gt;"",UPPER(AJ7)=UPPER(AJ5))</formula>
    </cfRule>
  </conditionalFormatting>
  <conditionalFormatting sqref="AJ7:AJ53">
    <cfRule type="expression" dxfId="14" priority="119">
      <formula>AND(AJ7&lt;&gt;"",UPPER(AJ7)&lt;&gt;UPPER(AJ5))</formula>
    </cfRule>
  </conditionalFormatting>
  <conditionalFormatting sqref="AK7:AK53">
    <cfRule type="expression" dxfId="12" priority="120">
      <formula>AND(AK7&lt;&gt;"",UPPER(AK7)=UPPER(AK5))</formula>
    </cfRule>
  </conditionalFormatting>
  <conditionalFormatting sqref="AK7:AK53">
    <cfRule type="expression" dxfId="14" priority="121">
      <formula>AND(AK7&lt;&gt;"",UPPER(AK7)&lt;&gt;UPPER(AK5))</formula>
    </cfRule>
  </conditionalFormatting>
  <conditionalFormatting sqref="AL7:AL53">
    <cfRule type="expression" dxfId="12" priority="122">
      <formula>AND(AL7&lt;&gt;"",UPPER(AL7)=UPPER(AL5))</formula>
    </cfRule>
  </conditionalFormatting>
  <conditionalFormatting sqref="AL7:AL53">
    <cfRule type="expression" dxfId="14" priority="123">
      <formula>AND(AL7&lt;&gt;"",UPPER(AL7)&lt;&gt;UPPER(AL5))</formula>
    </cfRule>
  </conditionalFormatting>
  <conditionalFormatting sqref="AM7:AM53">
    <cfRule type="expression" dxfId="12" priority="124">
      <formula>AND(AM7&lt;&gt;"",UPPER(AM7)=UPPER(AM5))</formula>
    </cfRule>
  </conditionalFormatting>
  <conditionalFormatting sqref="AM7:AM53">
    <cfRule type="expression" dxfId="14" priority="125">
      <formula>AND(AM7&lt;&gt;"",UPPER(AM7)&lt;&gt;UPPER(AM5))</formula>
    </cfRule>
  </conditionalFormatting>
  <conditionalFormatting sqref="AN7:AN53">
    <cfRule type="expression" dxfId="12" priority="126">
      <formula>AND(AN7&lt;&gt;"",LEN(SUBSTITUTE(SUBSTITUTE(UPPER(AN7),"A",""),"C",""))=0,AND(ISNUMBER(FIND("A",UPPER(AN7))),ISNUMBER(FIND("C",UPPER(AN7)))))</formula>
    </cfRule>
  </conditionalFormatting>
  <conditionalFormatting sqref="AN7:AN53">
    <cfRule type="expression" dxfId="13" priority="127">
      <formula>AND(AN7&lt;&gt;"",LEN(SUBSTITUTE(SUBSTITUTE(UPPER(AN7),"A",""),"C",""))=0,NOT(AND(ISNUMBER(FIND("A",UPPER(AN7))),ISNUMBER(FIND("C",UPPER(AN7))))),OR(ISNUMBER(FIND("A",UPPER(AN7))),ISNUMBER(FIND("C",UPPER(AN7)))))</formula>
    </cfRule>
  </conditionalFormatting>
  <conditionalFormatting sqref="AN7:AN53">
    <cfRule type="expression" dxfId="14" priority="128">
      <formula>AND(AN7&lt;&gt;"",OR(LEN(SUBSTITUTE(SUBSTITUTE(UPPER(AN7),"A",""),"C",""))&gt;0,NOT(OR(ISNUMBER(FIND("A",UPPER(AN7))),ISNUMBER(FIND("C",UPPER(AN7)))))))</formula>
    </cfRule>
  </conditionalFormatting>
  <conditionalFormatting sqref="AO7:AO53">
    <cfRule type="expression" dxfId="12" priority="129">
      <formula>AND(AO7&lt;&gt;"",UPPER(AO7)=UPPER(AO5))</formula>
    </cfRule>
  </conditionalFormatting>
  <conditionalFormatting sqref="AO7:AO53">
    <cfRule type="expression" dxfId="14" priority="130">
      <formula>AND(AO7&lt;&gt;"",UPPER(AO7)&lt;&gt;UPPER(AO5))</formula>
    </cfRule>
  </conditionalFormatting>
  <conditionalFormatting sqref="AP7:AP53">
    <cfRule type="expression" dxfId="12" priority="131">
      <formula>AND(AP7&lt;&gt;"",UPPER(AP7)=UPPER(AP5))</formula>
    </cfRule>
  </conditionalFormatting>
  <conditionalFormatting sqref="AP7:AP53">
    <cfRule type="expression" dxfId="14" priority="132">
      <formula>AND(AP7&lt;&gt;"",UPPER(AP7)&lt;&gt;UPPER(AP5))</formula>
    </cfRule>
  </conditionalFormatting>
  <conditionalFormatting sqref="AQ7:AQ53">
    <cfRule type="expression" dxfId="12" priority="133">
      <formula>AND(AQ7&lt;&gt;"",OR(UPPER(AQ7)="A",UPPER(AQ7)="B"))</formula>
    </cfRule>
  </conditionalFormatting>
  <conditionalFormatting sqref="AQ7:AQ53">
    <cfRule type="expression" dxfId="14" priority="134">
      <formula>AND(AQ7&lt;&gt;"",NOT(OR(UPPER(AQ7)="A",UPPER(AQ7)="B")))</formula>
    </cfRule>
  </conditionalFormatting>
  <conditionalFormatting sqref="AR7:AR53">
    <cfRule type="expression" dxfId="12" priority="135">
      <formula>AND(AR7&lt;&gt;"",LEN(SUBSTITUTE(SUBSTITUTE(UPPER(AR7),"A",""),"D",""))=0,AND(ISNUMBER(FIND("A",UPPER(AR7))),ISNUMBER(FIND("D",UPPER(AR7)))))</formula>
    </cfRule>
  </conditionalFormatting>
  <conditionalFormatting sqref="AR7:AR53">
    <cfRule type="expression" dxfId="13" priority="136">
      <formula>AND(AR7&lt;&gt;"",LEN(SUBSTITUTE(SUBSTITUTE(UPPER(AR7),"A",""),"D",""))=0,NOT(AND(ISNUMBER(FIND("A",UPPER(AR7))),ISNUMBER(FIND("D",UPPER(AR7))))),OR(ISNUMBER(FIND("A",UPPER(AR7))),ISNUMBER(FIND("D",UPPER(AR7)))))</formula>
    </cfRule>
  </conditionalFormatting>
  <conditionalFormatting sqref="AR7:AR53">
    <cfRule type="expression" dxfId="14" priority="137">
      <formula>AND(AR7&lt;&gt;"",OR(LEN(SUBSTITUTE(SUBSTITUTE(UPPER(AR7),"A",""),"D",""))&gt;0,NOT(OR(ISNUMBER(FIND("A",UPPER(AR7))),ISNUMBER(FIND("D",UPPER(AR7)))))))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0.0"/>
    <col customWidth="1" min="3" max="4" width="12.0"/>
    <col customWidth="1" min="5" max="13" width="6.43"/>
    <col customWidth="1" min="14" max="14" width="7.43"/>
    <col customWidth="1" min="15" max="44" width="6.43"/>
  </cols>
  <sheetData>
    <row r="1">
      <c r="A1" s="1" t="s">
        <v>168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</row>
    <row r="4">
      <c r="A4" s="4" t="s">
        <v>46</v>
      </c>
      <c r="D4" s="5">
        <v>100.0</v>
      </c>
      <c r="E4" s="6">
        <v>2.5</v>
      </c>
      <c r="F4" s="6">
        <v>2.5</v>
      </c>
      <c r="G4" s="6">
        <v>2.5</v>
      </c>
      <c r="H4" s="6">
        <v>2.5</v>
      </c>
      <c r="I4" s="6">
        <v>2.5</v>
      </c>
      <c r="J4" s="6">
        <v>2.5</v>
      </c>
      <c r="K4" s="6">
        <v>2.5</v>
      </c>
      <c r="L4" s="6">
        <v>2.5</v>
      </c>
      <c r="M4" s="6">
        <v>2.5</v>
      </c>
      <c r="N4" s="6">
        <v>2.5</v>
      </c>
      <c r="O4" s="6">
        <v>2.5</v>
      </c>
      <c r="P4" s="6">
        <v>2.5</v>
      </c>
      <c r="Q4" s="6">
        <v>2.5</v>
      </c>
      <c r="R4" s="6">
        <v>2.5</v>
      </c>
      <c r="S4" s="6">
        <v>2.5</v>
      </c>
      <c r="T4" s="6">
        <v>2.5</v>
      </c>
      <c r="U4" s="6">
        <v>2.5</v>
      </c>
      <c r="V4" s="6">
        <v>2.5</v>
      </c>
      <c r="W4" s="6">
        <v>2.5</v>
      </c>
      <c r="X4" s="6">
        <v>2.5</v>
      </c>
      <c r="Y4" s="6">
        <v>2.5</v>
      </c>
      <c r="Z4" s="6">
        <v>2.5</v>
      </c>
      <c r="AA4" s="6">
        <v>2.5</v>
      </c>
      <c r="AB4" s="6">
        <v>2.5</v>
      </c>
      <c r="AC4" s="6">
        <v>2.5</v>
      </c>
      <c r="AD4" s="6">
        <v>2.5</v>
      </c>
      <c r="AE4" s="6">
        <v>2.5</v>
      </c>
      <c r="AF4" s="6">
        <v>2.5</v>
      </c>
      <c r="AG4" s="6">
        <v>2.5</v>
      </c>
      <c r="AH4" s="6">
        <v>2.5</v>
      </c>
      <c r="AI4" s="6">
        <v>2.5</v>
      </c>
      <c r="AJ4" s="6">
        <v>2.5</v>
      </c>
      <c r="AK4" s="6">
        <v>2.5</v>
      </c>
      <c r="AL4" s="6">
        <v>2.5</v>
      </c>
      <c r="AM4" s="6">
        <v>2.5</v>
      </c>
      <c r="AN4" s="6">
        <v>2.5</v>
      </c>
      <c r="AO4" s="6">
        <v>2.5</v>
      </c>
      <c r="AP4" s="6">
        <v>2.5</v>
      </c>
      <c r="AQ4" s="6">
        <v>2.5</v>
      </c>
      <c r="AR4" s="6">
        <v>2.5</v>
      </c>
    </row>
    <row r="5">
      <c r="A5" s="4" t="s">
        <v>47</v>
      </c>
      <c r="E5" s="7" t="s">
        <v>51</v>
      </c>
      <c r="F5" s="7" t="s">
        <v>52</v>
      </c>
      <c r="G5" s="7" t="s">
        <v>56</v>
      </c>
      <c r="H5" s="7" t="s">
        <v>52</v>
      </c>
      <c r="I5" s="7" t="s">
        <v>49</v>
      </c>
      <c r="J5" s="7" t="s">
        <v>49</v>
      </c>
      <c r="K5" s="7" t="s">
        <v>169</v>
      </c>
      <c r="L5" s="7" t="s">
        <v>51</v>
      </c>
      <c r="M5" s="7" t="s">
        <v>51</v>
      </c>
      <c r="N5" s="7" t="s">
        <v>53</v>
      </c>
      <c r="O5" s="7" t="s">
        <v>170</v>
      </c>
      <c r="P5" s="7" t="s">
        <v>49</v>
      </c>
      <c r="Q5" s="7" t="s">
        <v>52</v>
      </c>
      <c r="R5" s="7" t="s">
        <v>49</v>
      </c>
      <c r="S5" s="7" t="s">
        <v>53</v>
      </c>
      <c r="T5" s="7" t="s">
        <v>51</v>
      </c>
      <c r="U5" s="7" t="s">
        <v>169</v>
      </c>
      <c r="V5" s="7" t="s">
        <v>55</v>
      </c>
      <c r="W5" s="7" t="s">
        <v>51</v>
      </c>
      <c r="X5" s="7" t="s">
        <v>52</v>
      </c>
      <c r="Y5" s="7" t="s">
        <v>49</v>
      </c>
      <c r="Z5" s="7" t="s">
        <v>49</v>
      </c>
      <c r="AA5" s="7" t="s">
        <v>169</v>
      </c>
      <c r="AB5" s="7" t="s">
        <v>170</v>
      </c>
      <c r="AC5" s="7" t="s">
        <v>49</v>
      </c>
      <c r="AD5" s="7" t="s">
        <v>53</v>
      </c>
      <c r="AE5" s="7" t="s">
        <v>52</v>
      </c>
      <c r="AF5" s="7" t="s">
        <v>52</v>
      </c>
      <c r="AG5" s="7" t="s">
        <v>53</v>
      </c>
      <c r="AH5" s="7" t="s">
        <v>53</v>
      </c>
      <c r="AI5" s="7" t="s">
        <v>169</v>
      </c>
      <c r="AJ5" s="7" t="s">
        <v>53</v>
      </c>
      <c r="AK5" s="7" t="s">
        <v>51</v>
      </c>
      <c r="AL5" s="7" t="s">
        <v>53</v>
      </c>
      <c r="AM5" s="7" t="s">
        <v>51</v>
      </c>
      <c r="AN5" s="7" t="s">
        <v>170</v>
      </c>
      <c r="AO5" s="7" t="s">
        <v>52</v>
      </c>
      <c r="AP5" s="7" t="s">
        <v>51</v>
      </c>
      <c r="AQ5" s="7" t="s">
        <v>51</v>
      </c>
      <c r="AR5" s="7" t="s">
        <v>170</v>
      </c>
    </row>
    <row r="6">
      <c r="A6" s="4"/>
      <c r="E6" s="9">
        <f t="shared" ref="E6:AR6" si="1">IFERROR(SUMPRODUCT(--((UPPER(E$7:E$55)=UPPER(E$5)) + (ISNUMBER(SEARCH("/", E$5)) * ISNUMBER(SEARCH(UPPER(E$7:E$55), UPPER(E$5))) * (E$7:E$55&lt;&gt;"")) &gt; 0)) / COUNTA(E$7:E$55), 0)</f>
        <v>0.7916666667</v>
      </c>
      <c r="F6" s="9">
        <f t="shared" si="1"/>
        <v>0.875</v>
      </c>
      <c r="G6" s="9">
        <f t="shared" si="1"/>
        <v>0.6666666667</v>
      </c>
      <c r="H6" s="9">
        <f t="shared" si="1"/>
        <v>0.75</v>
      </c>
      <c r="I6" s="9">
        <f t="shared" si="1"/>
        <v>0.5833333333</v>
      </c>
      <c r="J6" s="9">
        <f t="shared" si="1"/>
        <v>0.875</v>
      </c>
      <c r="K6" s="9">
        <f t="shared" si="1"/>
        <v>0.625</v>
      </c>
      <c r="L6" s="9">
        <f t="shared" si="1"/>
        <v>0.8958333333</v>
      </c>
      <c r="M6" s="9">
        <f t="shared" si="1"/>
        <v>0.75</v>
      </c>
      <c r="N6" s="9">
        <f t="shared" si="1"/>
        <v>0.9791666667</v>
      </c>
      <c r="O6" s="9">
        <f t="shared" si="1"/>
        <v>0.8333333333</v>
      </c>
      <c r="P6" s="9">
        <f t="shared" si="1"/>
        <v>0.75</v>
      </c>
      <c r="Q6" s="9">
        <f t="shared" si="1"/>
        <v>0.9583333333</v>
      </c>
      <c r="R6" s="9">
        <f t="shared" si="1"/>
        <v>0.875</v>
      </c>
      <c r="S6" s="9">
        <f t="shared" si="1"/>
        <v>0.8125</v>
      </c>
      <c r="T6" s="9">
        <f t="shared" si="1"/>
        <v>0.8333333333</v>
      </c>
      <c r="U6" s="9">
        <f t="shared" si="1"/>
        <v>0.6041666667</v>
      </c>
      <c r="V6" s="9">
        <f t="shared" si="1"/>
        <v>0.5416666667</v>
      </c>
      <c r="W6" s="9">
        <f t="shared" si="1"/>
        <v>0.8958333333</v>
      </c>
      <c r="X6" s="9">
        <f t="shared" si="1"/>
        <v>0.6875</v>
      </c>
      <c r="Y6" s="9">
        <f t="shared" si="1"/>
        <v>0.5833333333</v>
      </c>
      <c r="Z6" s="9">
        <f t="shared" si="1"/>
        <v>0.7083333333</v>
      </c>
      <c r="AA6" s="9">
        <f t="shared" si="1"/>
        <v>0.5416666667</v>
      </c>
      <c r="AB6" s="9">
        <f t="shared" si="1"/>
        <v>0.5833333333</v>
      </c>
      <c r="AC6" s="9">
        <f t="shared" si="1"/>
        <v>0.7708333333</v>
      </c>
      <c r="AD6" s="9">
        <f t="shared" si="1"/>
        <v>0.9166666667</v>
      </c>
      <c r="AE6" s="9">
        <f t="shared" si="1"/>
        <v>0.9375</v>
      </c>
      <c r="AF6" s="9">
        <f t="shared" si="1"/>
        <v>0.8541666667</v>
      </c>
      <c r="AG6" s="9">
        <f t="shared" si="1"/>
        <v>0.8958333333</v>
      </c>
      <c r="AH6" s="9">
        <f t="shared" si="1"/>
        <v>0.9583333333</v>
      </c>
      <c r="AI6" s="9">
        <f t="shared" si="1"/>
        <v>0.6875</v>
      </c>
      <c r="AJ6" s="9">
        <f t="shared" si="1"/>
        <v>0.8541666667</v>
      </c>
      <c r="AK6" s="9">
        <f t="shared" si="1"/>
        <v>0.8125</v>
      </c>
      <c r="AL6" s="9">
        <f t="shared" si="1"/>
        <v>0.8333333333</v>
      </c>
      <c r="AM6" s="9">
        <f t="shared" si="1"/>
        <v>0.875</v>
      </c>
      <c r="AN6" s="9">
        <f t="shared" si="1"/>
        <v>0.7291666667</v>
      </c>
      <c r="AO6" s="9">
        <f t="shared" si="1"/>
        <v>0.8333333333</v>
      </c>
      <c r="AP6" s="9">
        <f t="shared" si="1"/>
        <v>0.75</v>
      </c>
      <c r="AQ6" s="9">
        <f t="shared" si="1"/>
        <v>0.5625</v>
      </c>
      <c r="AR6" s="9">
        <f t="shared" si="1"/>
        <v>0.7708333333</v>
      </c>
    </row>
    <row r="7">
      <c r="A7" s="11">
        <v>2.023903992E9</v>
      </c>
      <c r="B7" s="10" t="s">
        <v>171</v>
      </c>
      <c r="C7" s="10" t="s">
        <v>172</v>
      </c>
      <c r="D7" s="12">
        <f>IF(UPPER(E7)=UPPER(E5),E4,0)+IF(UPPER(F7)=UPPER(F5),F4,0)+IF(G7="",0,IF(LEN(SUBSTITUTE(SUBSTITUTE(UPPER(G7),"A",""),"D",""))&gt;0,0,IF(AND(ISNUMBER(FIND("A",UPPER(G7))),ISNUMBER(FIND("D",UPPER(G7)))),G4,G4/2)))+IF(UPPER(H7)=UPPER(H5),H4,0)+IF(UPPER(I7)=UPPER(I5),I4,0)+IF(UPPER(J7)=UPPER(J5),J4,0)+IF(K7="",0,IF(LEN(SUBSTITUTE(SUBSTITUTE(UPPER(K7),"B",""),"D",""))&gt;0,0,IF(AND(ISNUMBER(FIND("B",UPPER(K7))),ISNUMBER(FIND("D",UPPER(K7)))),K4,K4/2)))+IF(UPPER(L7)=UPPER(L5),L4,0)+IF(UPPER(M7)=UPPER(M5),M4,0)+IF(UPPER(N7)=UPPER(N5),N4,0)+IF(O7="",0,IF(LEN(SUBSTITUTE(SUBSTITUTE(UPPER(O7),"B",""),"C",""))&gt;0,0,IF(AND(ISNUMBER(FIND("B",UPPER(O7))),ISNUMBER(FIND("C",UPPER(O7)))),O4,O4/2)))+IF(UPPER(P7)=UPPER(P5),P4,0)+IF(UPPER(Q7)=UPPER(Q5),Q4,0)+IF(UPPER(R7)=UPPER(R5),R4,0)+IF(UPPER(S7)=UPPER(S5),S4,0)+IF(UPPER(T7)=UPPER(T5),T4,0)+IF(U7="",0,IF(LEN(SUBSTITUTE(SUBSTITUTE(UPPER(U7),"B",""),"D",""))&gt;0,0,IF(AND(ISNUMBER(FIND("B",UPPER(U7))),ISNUMBER(FIND("D",UPPER(U7)))),U4,U4/2)))+IF(V7="",0,IF(LEN(SUBSTITUTE(SUBSTITUTE(UPPER(V7),"A",""),"B",""))&gt;0,0,IF(AND(ISNUMBER(FIND("A",UPPER(V7))),ISNUMBER(FIND("B",UPPER(V7)))),V4,V4/2)))+IF(UPPER(W7)=UPPER(W5),W4,0)+IF(UPPER(X7)=UPPER(X5),X4,0)+IF(UPPER(Y7)=UPPER(Y5),Y4,0)+IF(UPPER(Z7)=UPPER(Z5),Z4,0)+IF(AA7="",0,IF(LEN(SUBSTITUTE(SUBSTITUTE(UPPER(AA7),"B",""),"D",""))&gt;0,0,IF(AND(ISNUMBER(FIND("B",UPPER(AA7))),ISNUMBER(FIND("D",UPPER(AA7)))),AA4,AA4/2)))+IF(AB7="",0,IF(LEN(SUBSTITUTE(SUBSTITUTE(UPPER(AB7),"B",""),"C",""))&gt;0,0,IF(AND(ISNUMBER(FIND("B",UPPER(AB7))),ISNUMBER(FIND("C",UPPER(AB7)))),AB4,AB4/2)))+IF(UPPER(AC7)=UPPER(AC5),AC4,0)+IF(UPPER(AD7)=UPPER(AD5),AD4,0)+IF(UPPER(AE7)=UPPER(AE5),AE4,0)+IF(UPPER(AF7)=UPPER(AF5),AF4,0)+IF(UPPER(AG7)=UPPER(AG5),AG4,0)+IF(UPPER(AH7)=UPPER(AH5),AH4,0)+IF(AI7="",0,IF(LEN(SUBSTITUTE(SUBSTITUTE(UPPER(AI7),"B",""),"D",""))&gt;0,0,IF(AND(ISNUMBER(FIND("B",UPPER(AI7))),ISNUMBER(FIND("D",UPPER(AI7)))),AI4,AI4/2)))+IF(UPPER(AJ7)=UPPER(AJ5),AJ4,0)+IF(UPPER(AK7)=UPPER(AK5),AK4,0)+IF(UPPER(AL7)=UPPER(AL5),AL4,0)+IF(UPPER(AM7)=UPPER(AM5),AM4,0)+IF(AN7="",0,IF(LEN(SUBSTITUTE(SUBSTITUTE(UPPER(AN7),"B",""),"C",""))&gt;0,0,IF(AND(ISNUMBER(FIND("B",UPPER(AN7))),ISNUMBER(FIND("C",UPPER(AN7)))),AN4,AN4/2)))+IF(UPPER(AO7)=UPPER(AO5),AO4,0)+IF(UPPER(AP7)=UPPER(AP5),AP4,0)+IF(UPPER(AQ7)=UPPER(AQ5),AQ4,0)+IF(AR7="",0,IF(LEN(SUBSTITUTE(SUBSTITUTE(UPPER(AR7),"B",""),"C",""))&gt;0,0,IF(AND(ISNUMBER(FIND("B",UPPER(AR7))),ISNUMBER(FIND("C",UPPER(AR7)))),AR4,AR4/2)))</f>
        <v>92.5</v>
      </c>
      <c r="E7" s="13" t="s">
        <v>63</v>
      </c>
      <c r="F7" s="13" t="s">
        <v>60</v>
      </c>
      <c r="G7" s="13" t="s">
        <v>67</v>
      </c>
      <c r="H7" s="13" t="s">
        <v>60</v>
      </c>
      <c r="I7" s="13" t="s">
        <v>61</v>
      </c>
      <c r="J7" s="13" t="s">
        <v>61</v>
      </c>
      <c r="K7" s="13" t="s">
        <v>67</v>
      </c>
      <c r="L7" s="13" t="s">
        <v>63</v>
      </c>
      <c r="M7" s="13" t="s">
        <v>63</v>
      </c>
      <c r="N7" s="13" t="s">
        <v>64</v>
      </c>
      <c r="O7" s="13" t="s">
        <v>73</v>
      </c>
      <c r="P7" s="13" t="s">
        <v>61</v>
      </c>
      <c r="Q7" s="13" t="s">
        <v>60</v>
      </c>
      <c r="R7" s="13" t="s">
        <v>61</v>
      </c>
      <c r="S7" s="13" t="s">
        <v>64</v>
      </c>
      <c r="T7" s="13" t="s">
        <v>63</v>
      </c>
      <c r="U7" s="13" t="s">
        <v>74</v>
      </c>
      <c r="V7" s="13" t="s">
        <v>66</v>
      </c>
      <c r="W7" s="13" t="s">
        <v>63</v>
      </c>
      <c r="X7" s="13" t="s">
        <v>60</v>
      </c>
      <c r="Y7" s="13" t="s">
        <v>60</v>
      </c>
      <c r="Z7" s="13" t="s">
        <v>61</v>
      </c>
      <c r="AA7" s="13" t="s">
        <v>74</v>
      </c>
      <c r="AB7" s="13" t="s">
        <v>73</v>
      </c>
      <c r="AC7" s="13" t="s">
        <v>61</v>
      </c>
      <c r="AD7" s="13" t="s">
        <v>64</v>
      </c>
      <c r="AE7" s="13" t="s">
        <v>60</v>
      </c>
      <c r="AF7" s="13" t="s">
        <v>60</v>
      </c>
      <c r="AG7" s="13" t="s">
        <v>64</v>
      </c>
      <c r="AH7" s="13" t="s">
        <v>64</v>
      </c>
      <c r="AI7" s="13" t="s">
        <v>74</v>
      </c>
      <c r="AJ7" s="13" t="s">
        <v>64</v>
      </c>
      <c r="AK7" s="13" t="s">
        <v>63</v>
      </c>
      <c r="AL7" s="13" t="s">
        <v>64</v>
      </c>
      <c r="AM7" s="13" t="s">
        <v>63</v>
      </c>
      <c r="AN7" s="13" t="s">
        <v>73</v>
      </c>
      <c r="AO7" s="13" t="s">
        <v>60</v>
      </c>
      <c r="AP7" s="13" t="s">
        <v>63</v>
      </c>
      <c r="AQ7" s="13" t="s">
        <v>63</v>
      </c>
      <c r="AR7" s="13" t="s">
        <v>66</v>
      </c>
    </row>
    <row r="8">
      <c r="A8" s="10">
        <v>2.023905319E9</v>
      </c>
      <c r="B8" s="10" t="s">
        <v>173</v>
      </c>
      <c r="C8" s="10" t="s">
        <v>174</v>
      </c>
      <c r="D8" s="12">
        <f>IF(UPPER(E8)=UPPER(E5),E4,0)+IF(UPPER(F8)=UPPER(F5),F4,0)+IF(G8="",0,IF(LEN(SUBSTITUTE(SUBSTITUTE(UPPER(G8),"A",""),"D",""))&gt;0,0,IF(AND(ISNUMBER(FIND("A",UPPER(G8))),ISNUMBER(FIND("D",UPPER(G8)))),G4,G4/2)))+IF(UPPER(H8)=UPPER(H5),H4,0)+IF(UPPER(I8)=UPPER(I5),I4,0)+IF(UPPER(J8)=UPPER(J5),J4,0)+IF(K8="",0,IF(LEN(SUBSTITUTE(SUBSTITUTE(UPPER(K8),"B",""),"D",""))&gt;0,0,IF(AND(ISNUMBER(FIND("B",UPPER(K8))),ISNUMBER(FIND("D",UPPER(K8)))),K4,K4/2)))+IF(UPPER(L8)=UPPER(L5),L4,0)+IF(UPPER(M8)=UPPER(M5),M4,0)+IF(UPPER(N8)=UPPER(N5),N4,0)+IF(O8="",0,IF(LEN(SUBSTITUTE(SUBSTITUTE(UPPER(O8),"B",""),"C",""))&gt;0,0,IF(AND(ISNUMBER(FIND("B",UPPER(O8))),ISNUMBER(FIND("C",UPPER(O8)))),O4,O4/2)))+IF(UPPER(P8)=UPPER(P5),P4,0)+IF(UPPER(Q8)=UPPER(Q5),Q4,0)+IF(UPPER(R8)=UPPER(R5),R4,0)+IF(UPPER(S8)=UPPER(S5),S4,0)+IF(UPPER(T8)=UPPER(T5),T4,0)+IF(U8="",0,IF(LEN(SUBSTITUTE(SUBSTITUTE(UPPER(U8),"B",""),"D",""))&gt;0,0,IF(AND(ISNUMBER(FIND("B",UPPER(U8))),ISNUMBER(FIND("D",UPPER(U8)))),U4,U4/2)))+IF(V8="",0,IF(LEN(SUBSTITUTE(SUBSTITUTE(UPPER(V8),"A",""),"B",""))&gt;0,0,IF(AND(ISNUMBER(FIND("A",UPPER(V8))),ISNUMBER(FIND("B",UPPER(V8)))),V4,V4/2)))+IF(UPPER(W8)=UPPER(W5),W4,0)+IF(UPPER(X8)=UPPER(X5),X4,0)+IF(UPPER(Y8)=UPPER(Y5),Y4,0)+IF(UPPER(Z8)=UPPER(Z5),Z4,0)+IF(AA8="",0,IF(LEN(SUBSTITUTE(SUBSTITUTE(UPPER(AA8),"B",""),"D",""))&gt;0,0,IF(AND(ISNUMBER(FIND("B",UPPER(AA8))),ISNUMBER(FIND("D",UPPER(AA8)))),AA4,AA4/2)))+IF(AB8="",0,IF(LEN(SUBSTITUTE(SUBSTITUTE(UPPER(AB8),"B",""),"C",""))&gt;0,0,IF(AND(ISNUMBER(FIND("B",UPPER(AB8))),ISNUMBER(FIND("C",UPPER(AB8)))),AB4,AB4/2)))+IF(UPPER(AC8)=UPPER(AC5),AC4,0)+IF(UPPER(AD8)=UPPER(AD5),AD4,0)+IF(UPPER(AE8)=UPPER(AE5),AE4,0)+IF(UPPER(AF8)=UPPER(AF5),AF4,0)+IF(UPPER(AG8)=UPPER(AG5),AG4,0)+IF(UPPER(AH8)=UPPER(AH5),AH4,0)+IF(AI8="",0,IF(LEN(SUBSTITUTE(SUBSTITUTE(UPPER(AI8),"B",""),"D",""))&gt;0,0,IF(AND(ISNUMBER(FIND("B",UPPER(AI8))),ISNUMBER(FIND("D",UPPER(AI8)))),AI4,AI4/2)))+IF(UPPER(AJ8)=UPPER(AJ5),AJ4,0)+IF(UPPER(AK8)=UPPER(AK5),AK4,0)+IF(UPPER(AL8)=UPPER(AL5),AL4,0)+IF(UPPER(AM8)=UPPER(AM5),AM4,0)+IF(AN8="",0,IF(LEN(SUBSTITUTE(SUBSTITUTE(UPPER(AN8),"B",""),"C",""))&gt;0,0,IF(AND(ISNUMBER(FIND("B",UPPER(AN8))),ISNUMBER(FIND("C",UPPER(AN8)))),AN4,AN4/2)))+IF(UPPER(AO8)=UPPER(AO5),AO4,0)+IF(UPPER(AP8)=UPPER(AP5),AP4,0)+IF(UPPER(AQ8)=UPPER(AQ5),AQ4,0)+IF(AR8="",0,IF(LEN(SUBSTITUTE(SUBSTITUTE(UPPER(AR8),"B",""),"C",""))&gt;0,0,IF(AND(ISNUMBER(FIND("B",UPPER(AR8))),ISNUMBER(FIND("C",UPPER(AR8)))),AR4,AR4/2)))</f>
        <v>72.5</v>
      </c>
      <c r="E8" s="13" t="s">
        <v>61</v>
      </c>
      <c r="F8" s="13" t="s">
        <v>60</v>
      </c>
      <c r="G8" s="13" t="s">
        <v>67</v>
      </c>
      <c r="H8" s="13" t="s">
        <v>64</v>
      </c>
      <c r="I8" s="13" t="s">
        <v>63</v>
      </c>
      <c r="J8" s="13" t="s">
        <v>61</v>
      </c>
      <c r="K8" s="13" t="s">
        <v>113</v>
      </c>
      <c r="L8" s="13" t="s">
        <v>63</v>
      </c>
      <c r="M8" s="13" t="s">
        <v>64</v>
      </c>
      <c r="N8" s="13" t="s">
        <v>64</v>
      </c>
      <c r="O8" s="13" t="s">
        <v>73</v>
      </c>
      <c r="P8" s="13" t="s">
        <v>64</v>
      </c>
      <c r="Q8" s="13" t="s">
        <v>60</v>
      </c>
      <c r="R8" s="13" t="s">
        <v>61</v>
      </c>
      <c r="S8" s="13" t="s">
        <v>64</v>
      </c>
      <c r="T8" s="13" t="s">
        <v>63</v>
      </c>
      <c r="U8" s="13" t="s">
        <v>63</v>
      </c>
      <c r="V8" s="13" t="s">
        <v>66</v>
      </c>
      <c r="W8" s="13" t="s">
        <v>63</v>
      </c>
      <c r="X8" s="13" t="s">
        <v>63</v>
      </c>
      <c r="Y8" s="13" t="s">
        <v>64</v>
      </c>
      <c r="Z8" s="13" t="s">
        <v>61</v>
      </c>
      <c r="AA8" s="13" t="s">
        <v>74</v>
      </c>
      <c r="AB8" s="13" t="s">
        <v>73</v>
      </c>
      <c r="AC8" s="13" t="s">
        <v>60</v>
      </c>
      <c r="AD8" s="13" t="s">
        <v>64</v>
      </c>
      <c r="AE8" s="13" t="s">
        <v>60</v>
      </c>
      <c r="AF8" s="13" t="s">
        <v>60</v>
      </c>
      <c r="AG8" s="13" t="s">
        <v>64</v>
      </c>
      <c r="AH8" s="13" t="s">
        <v>64</v>
      </c>
      <c r="AI8" s="13" t="s">
        <v>74</v>
      </c>
      <c r="AJ8" s="13" t="s">
        <v>64</v>
      </c>
      <c r="AK8" s="13" t="s">
        <v>63</v>
      </c>
      <c r="AL8" s="13" t="s">
        <v>64</v>
      </c>
      <c r="AM8" s="13" t="s">
        <v>63</v>
      </c>
      <c r="AN8" s="13" t="s">
        <v>73</v>
      </c>
      <c r="AO8" s="13" t="s">
        <v>60</v>
      </c>
      <c r="AP8" s="13" t="s">
        <v>63</v>
      </c>
      <c r="AQ8" s="13" t="s">
        <v>63</v>
      </c>
      <c r="AR8" s="13" t="s">
        <v>113</v>
      </c>
    </row>
    <row r="9">
      <c r="A9" s="10">
        <v>2.023903988E9</v>
      </c>
      <c r="B9" s="10" t="s">
        <v>175</v>
      </c>
      <c r="C9" s="10" t="s">
        <v>176</v>
      </c>
      <c r="D9" s="12">
        <f>IF(UPPER(E9)=UPPER(E5),E4,0)+IF(UPPER(F9)=UPPER(F5),F4,0)+IF(G9="",0,IF(LEN(SUBSTITUTE(SUBSTITUTE(UPPER(G9),"A",""),"D",""))&gt;0,0,IF(AND(ISNUMBER(FIND("A",UPPER(G9))),ISNUMBER(FIND("D",UPPER(G9)))),G4,G4/2)))+IF(UPPER(H9)=UPPER(H5),H4,0)+IF(UPPER(I9)=UPPER(I5),I4,0)+IF(UPPER(J9)=UPPER(J5),J4,0)+IF(K9="",0,IF(LEN(SUBSTITUTE(SUBSTITUTE(UPPER(K9),"B",""),"D",""))&gt;0,0,IF(AND(ISNUMBER(FIND("B",UPPER(K9))),ISNUMBER(FIND("D",UPPER(K9)))),K4,K4/2)))+IF(UPPER(L9)=UPPER(L5),L4,0)+IF(UPPER(M9)=UPPER(M5),M4,0)+IF(UPPER(N9)=UPPER(N5),N4,0)+IF(O9="",0,IF(LEN(SUBSTITUTE(SUBSTITUTE(UPPER(O9),"B",""),"C",""))&gt;0,0,IF(AND(ISNUMBER(FIND("B",UPPER(O9))),ISNUMBER(FIND("C",UPPER(O9)))),O4,O4/2)))+IF(UPPER(P9)=UPPER(P5),P4,0)+IF(UPPER(Q9)=UPPER(Q5),Q4,0)+IF(UPPER(R9)=UPPER(R5),R4,0)+IF(UPPER(S9)=UPPER(S5),S4,0)+IF(UPPER(T9)=UPPER(T5),T4,0)+IF(U9="",0,IF(LEN(SUBSTITUTE(SUBSTITUTE(UPPER(U9),"B",""),"D",""))&gt;0,0,IF(AND(ISNUMBER(FIND("B",UPPER(U9))),ISNUMBER(FIND("D",UPPER(U9)))),U4,U4/2)))+IF(V9="",0,IF(LEN(SUBSTITUTE(SUBSTITUTE(UPPER(V9),"A",""),"B",""))&gt;0,0,IF(AND(ISNUMBER(FIND("A",UPPER(V9))),ISNUMBER(FIND("B",UPPER(V9)))),V4,V4/2)))+IF(UPPER(W9)=UPPER(W5),W4,0)+IF(UPPER(X9)=UPPER(X5),X4,0)+IF(UPPER(Y9)=UPPER(Y5),Y4,0)+IF(UPPER(Z9)=UPPER(Z5),Z4,0)+IF(AA9="",0,IF(LEN(SUBSTITUTE(SUBSTITUTE(UPPER(AA9),"B",""),"D",""))&gt;0,0,IF(AND(ISNUMBER(FIND("B",UPPER(AA9))),ISNUMBER(FIND("D",UPPER(AA9)))),AA4,AA4/2)))+IF(AB9="",0,IF(LEN(SUBSTITUTE(SUBSTITUTE(UPPER(AB9),"B",""),"C",""))&gt;0,0,IF(AND(ISNUMBER(FIND("B",UPPER(AB9))),ISNUMBER(FIND("C",UPPER(AB9)))),AB4,AB4/2)))+IF(UPPER(AC9)=UPPER(AC5),AC4,0)+IF(UPPER(AD9)=UPPER(AD5),AD4,0)+IF(UPPER(AE9)=UPPER(AE5),AE4,0)+IF(UPPER(AF9)=UPPER(AF5),AF4,0)+IF(UPPER(AG9)=UPPER(AG5),AG4,0)+IF(UPPER(AH9)=UPPER(AH5),AH4,0)+IF(AI9="",0,IF(LEN(SUBSTITUTE(SUBSTITUTE(UPPER(AI9),"B",""),"D",""))&gt;0,0,IF(AND(ISNUMBER(FIND("B",UPPER(AI9))),ISNUMBER(FIND("D",UPPER(AI9)))),AI4,AI4/2)))+IF(UPPER(AJ9)=UPPER(AJ5),AJ4,0)+IF(UPPER(AK9)=UPPER(AK5),AK4,0)+IF(UPPER(AL9)=UPPER(AL5),AL4,0)+IF(UPPER(AM9)=UPPER(AM5),AM4,0)+IF(AN9="",0,IF(LEN(SUBSTITUTE(SUBSTITUTE(UPPER(AN9),"B",""),"C",""))&gt;0,0,IF(AND(ISNUMBER(FIND("B",UPPER(AN9))),ISNUMBER(FIND("C",UPPER(AN9)))),AN4,AN4/2)))+IF(UPPER(AO9)=UPPER(AO5),AO4,0)+IF(UPPER(AP9)=UPPER(AP5),AP4,0)+IF(UPPER(AQ9)=UPPER(AQ5),AQ4,0)+IF(AR9="",0,IF(LEN(SUBSTITUTE(SUBSTITUTE(UPPER(AR9),"B",""),"C",""))&gt;0,0,IF(AND(ISNUMBER(FIND("B",UPPER(AR9))),ISNUMBER(FIND("C",UPPER(AR9)))),AR4,AR4/2)))</f>
        <v>93.75</v>
      </c>
      <c r="E9" s="13" t="s">
        <v>63</v>
      </c>
      <c r="F9" s="13" t="s">
        <v>60</v>
      </c>
      <c r="G9" s="13" t="s">
        <v>87</v>
      </c>
      <c r="H9" s="13" t="s">
        <v>60</v>
      </c>
      <c r="I9" s="13" t="s">
        <v>61</v>
      </c>
      <c r="J9" s="13" t="s">
        <v>61</v>
      </c>
      <c r="K9" s="13" t="s">
        <v>113</v>
      </c>
      <c r="L9" s="13" t="s">
        <v>63</v>
      </c>
      <c r="M9" s="13" t="s">
        <v>63</v>
      </c>
      <c r="N9" s="13" t="s">
        <v>64</v>
      </c>
      <c r="O9" s="13" t="s">
        <v>73</v>
      </c>
      <c r="P9" s="13" t="s">
        <v>61</v>
      </c>
      <c r="Q9" s="13" t="s">
        <v>60</v>
      </c>
      <c r="R9" s="13" t="s">
        <v>61</v>
      </c>
      <c r="S9" s="13" t="s">
        <v>64</v>
      </c>
      <c r="T9" s="13" t="s">
        <v>63</v>
      </c>
      <c r="U9" s="13" t="s">
        <v>64</v>
      </c>
      <c r="V9" s="13" t="s">
        <v>66</v>
      </c>
      <c r="W9" s="13" t="s">
        <v>63</v>
      </c>
      <c r="X9" s="13" t="s">
        <v>60</v>
      </c>
      <c r="Y9" s="13" t="s">
        <v>61</v>
      </c>
      <c r="Z9" s="13" t="s">
        <v>61</v>
      </c>
      <c r="AA9" s="13" t="s">
        <v>74</v>
      </c>
      <c r="AB9" s="13" t="s">
        <v>73</v>
      </c>
      <c r="AC9" s="13" t="s">
        <v>61</v>
      </c>
      <c r="AD9" s="13" t="s">
        <v>64</v>
      </c>
      <c r="AE9" s="13" t="s">
        <v>60</v>
      </c>
      <c r="AF9" s="13" t="s">
        <v>60</v>
      </c>
      <c r="AG9" s="13" t="s">
        <v>64</v>
      </c>
      <c r="AH9" s="13" t="s">
        <v>64</v>
      </c>
      <c r="AI9" s="13" t="s">
        <v>74</v>
      </c>
      <c r="AJ9" s="13" t="s">
        <v>64</v>
      </c>
      <c r="AK9" s="13" t="s">
        <v>63</v>
      </c>
      <c r="AL9" s="13" t="s">
        <v>64</v>
      </c>
      <c r="AM9" s="13" t="s">
        <v>63</v>
      </c>
      <c r="AN9" s="13" t="s">
        <v>73</v>
      </c>
      <c r="AO9" s="13" t="s">
        <v>60</v>
      </c>
      <c r="AP9" s="13" t="s">
        <v>63</v>
      </c>
      <c r="AQ9" s="13" t="s">
        <v>63</v>
      </c>
      <c r="AR9" s="13" t="s">
        <v>73</v>
      </c>
    </row>
    <row r="10">
      <c r="A10" s="10">
        <v>2.023902788E9</v>
      </c>
      <c r="B10" s="10" t="s">
        <v>177</v>
      </c>
      <c r="C10" s="10" t="s">
        <v>178</v>
      </c>
      <c r="D10" s="12">
        <f>IF(UPPER(E10)=UPPER(E5),E4,0)+IF(UPPER(F10)=UPPER(F5),F4,0)+IF(G10="",0,IF(LEN(SUBSTITUTE(SUBSTITUTE(UPPER(G10),"A",""),"D",""))&gt;0,0,IF(AND(ISNUMBER(FIND("A",UPPER(G10))),ISNUMBER(FIND("D",UPPER(G10)))),G4,G4/2)))+IF(UPPER(H10)=UPPER(H5),H4,0)+IF(UPPER(I10)=UPPER(I5),I4,0)+IF(UPPER(J10)=UPPER(J5),J4,0)+IF(K10="",0,IF(LEN(SUBSTITUTE(SUBSTITUTE(UPPER(K10),"B",""),"D",""))&gt;0,0,IF(AND(ISNUMBER(FIND("B",UPPER(K10))),ISNUMBER(FIND("D",UPPER(K10)))),K4,K4/2)))+IF(UPPER(L10)=UPPER(L5),L4,0)+IF(UPPER(M10)=UPPER(M5),M4,0)+IF(UPPER(N10)=UPPER(N5),N4,0)+IF(O10="",0,IF(LEN(SUBSTITUTE(SUBSTITUTE(UPPER(O10),"B",""),"C",""))&gt;0,0,IF(AND(ISNUMBER(FIND("B",UPPER(O10))),ISNUMBER(FIND("C",UPPER(O10)))),O4,O4/2)))+IF(UPPER(P10)=UPPER(P5),P4,0)+IF(UPPER(Q10)=UPPER(Q5),Q4,0)+IF(UPPER(R10)=UPPER(R5),R4,0)+IF(UPPER(S10)=UPPER(S5),S4,0)+IF(UPPER(T10)=UPPER(T5),T4,0)+IF(U10="",0,IF(LEN(SUBSTITUTE(SUBSTITUTE(UPPER(U10),"B",""),"D",""))&gt;0,0,IF(AND(ISNUMBER(FIND("B",UPPER(U10))),ISNUMBER(FIND("D",UPPER(U10)))),U4,U4/2)))+IF(V10="",0,IF(LEN(SUBSTITUTE(SUBSTITUTE(UPPER(V10),"A",""),"B",""))&gt;0,0,IF(AND(ISNUMBER(FIND("A",UPPER(V10))),ISNUMBER(FIND("B",UPPER(V10)))),V4,V4/2)))+IF(UPPER(W10)=UPPER(W5),W4,0)+IF(UPPER(X10)=UPPER(X5),X4,0)+IF(UPPER(Y10)=UPPER(Y5),Y4,0)+IF(UPPER(Z10)=UPPER(Z5),Z4,0)+IF(AA10="",0,IF(LEN(SUBSTITUTE(SUBSTITUTE(UPPER(AA10),"B",""),"D",""))&gt;0,0,IF(AND(ISNUMBER(FIND("B",UPPER(AA10))),ISNUMBER(FIND("D",UPPER(AA10)))),AA4,AA4/2)))+IF(AB10="",0,IF(LEN(SUBSTITUTE(SUBSTITUTE(UPPER(AB10),"B",""),"C",""))&gt;0,0,IF(AND(ISNUMBER(FIND("B",UPPER(AB10))),ISNUMBER(FIND("C",UPPER(AB10)))),AB4,AB4/2)))+IF(UPPER(AC10)=UPPER(AC5),AC4,0)+IF(UPPER(AD10)=UPPER(AD5),AD4,0)+IF(UPPER(AE10)=UPPER(AE5),AE4,0)+IF(UPPER(AF10)=UPPER(AF5),AF4,0)+IF(UPPER(AG10)=UPPER(AG5),AG4,0)+IF(UPPER(AH10)=UPPER(AH5),AH4,0)+IF(AI10="",0,IF(LEN(SUBSTITUTE(SUBSTITUTE(UPPER(AI10),"B",""),"D",""))&gt;0,0,IF(AND(ISNUMBER(FIND("B",UPPER(AI10))),ISNUMBER(FIND("D",UPPER(AI10)))),AI4,AI4/2)))+IF(UPPER(AJ10)=UPPER(AJ5),AJ4,0)+IF(UPPER(AK10)=UPPER(AK5),AK4,0)+IF(UPPER(AL10)=UPPER(AL5),AL4,0)+IF(UPPER(AM10)=UPPER(AM5),AM4,0)+IF(AN10="",0,IF(LEN(SUBSTITUTE(SUBSTITUTE(UPPER(AN10),"B",""),"C",""))&gt;0,0,IF(AND(ISNUMBER(FIND("B",UPPER(AN10))),ISNUMBER(FIND("C",UPPER(AN10)))),AN4,AN4/2)))+IF(UPPER(AO10)=UPPER(AO5),AO4,0)+IF(UPPER(AP10)=UPPER(AP5),AP4,0)+IF(UPPER(AQ10)=UPPER(AQ5),AQ4,0)+IF(AR10="",0,IF(LEN(SUBSTITUTE(SUBSTITUTE(UPPER(AR10),"B",""),"C",""))&gt;0,0,IF(AND(ISNUMBER(FIND("B",UPPER(AR10))),ISNUMBER(FIND("C",UPPER(AR10)))),AR4,AR4/2)))</f>
        <v>90</v>
      </c>
      <c r="E10" s="13" t="s">
        <v>63</v>
      </c>
      <c r="F10" s="13" t="s">
        <v>60</v>
      </c>
      <c r="G10" s="13" t="s">
        <v>67</v>
      </c>
      <c r="H10" s="13" t="s">
        <v>60</v>
      </c>
      <c r="I10" s="13" t="s">
        <v>61</v>
      </c>
      <c r="J10" s="13" t="s">
        <v>61</v>
      </c>
      <c r="K10" s="13" t="s">
        <v>74</v>
      </c>
      <c r="L10" s="13" t="s">
        <v>63</v>
      </c>
      <c r="M10" s="13" t="s">
        <v>63</v>
      </c>
      <c r="N10" s="13" t="s">
        <v>64</v>
      </c>
      <c r="O10" s="13" t="s">
        <v>73</v>
      </c>
      <c r="P10" s="13" t="s">
        <v>61</v>
      </c>
      <c r="Q10" s="13" t="s">
        <v>60</v>
      </c>
      <c r="R10" s="13" t="s">
        <v>61</v>
      </c>
      <c r="S10" s="13" t="s">
        <v>64</v>
      </c>
      <c r="T10" s="13" t="s">
        <v>63</v>
      </c>
      <c r="U10" s="13" t="s">
        <v>74</v>
      </c>
      <c r="V10" s="13" t="s">
        <v>67</v>
      </c>
      <c r="W10" s="13" t="s">
        <v>63</v>
      </c>
      <c r="X10" s="13" t="s">
        <v>60</v>
      </c>
      <c r="Y10" s="13" t="s">
        <v>61</v>
      </c>
      <c r="Z10" s="13" t="s">
        <v>61</v>
      </c>
      <c r="AA10" s="13" t="s">
        <v>125</v>
      </c>
      <c r="AB10" s="13" t="s">
        <v>73</v>
      </c>
      <c r="AC10" s="13" t="s">
        <v>61</v>
      </c>
      <c r="AD10" s="13" t="s">
        <v>64</v>
      </c>
      <c r="AE10" s="13" t="s">
        <v>60</v>
      </c>
      <c r="AF10" s="13" t="s">
        <v>60</v>
      </c>
      <c r="AG10" s="13" t="s">
        <v>64</v>
      </c>
      <c r="AH10" s="13" t="s">
        <v>64</v>
      </c>
      <c r="AI10" s="13" t="s">
        <v>179</v>
      </c>
      <c r="AJ10" s="13" t="s">
        <v>64</v>
      </c>
      <c r="AK10" s="13" t="s">
        <v>63</v>
      </c>
      <c r="AL10" s="13" t="s">
        <v>64</v>
      </c>
      <c r="AM10" s="13" t="s">
        <v>63</v>
      </c>
      <c r="AN10" s="13" t="s">
        <v>73</v>
      </c>
      <c r="AO10" s="13" t="s">
        <v>60</v>
      </c>
      <c r="AP10" s="13" t="s">
        <v>63</v>
      </c>
      <c r="AQ10" s="13" t="s">
        <v>64</v>
      </c>
      <c r="AR10" s="13" t="s">
        <v>73</v>
      </c>
    </row>
    <row r="11">
      <c r="A11" s="10">
        <v>2.023905332E9</v>
      </c>
      <c r="B11" s="10" t="s">
        <v>180</v>
      </c>
      <c r="C11" s="10" t="s">
        <v>181</v>
      </c>
      <c r="D11" s="12">
        <f>IF(UPPER(E11)=UPPER(E5),E4,0)+IF(UPPER(F11)=UPPER(F5),F4,0)+IF(G11="",0,IF(LEN(SUBSTITUTE(SUBSTITUTE(UPPER(G11),"A",""),"D",""))&gt;0,0,IF(AND(ISNUMBER(FIND("A",UPPER(G11))),ISNUMBER(FIND("D",UPPER(G11)))),G4,G4/2)))+IF(UPPER(H11)=UPPER(H5),H4,0)+IF(UPPER(I11)=UPPER(I5),I4,0)+IF(UPPER(J11)=UPPER(J5),J4,0)+IF(K11="",0,IF(LEN(SUBSTITUTE(SUBSTITUTE(UPPER(K11),"B",""),"D",""))&gt;0,0,IF(AND(ISNUMBER(FIND("B",UPPER(K11))),ISNUMBER(FIND("D",UPPER(K11)))),K4,K4/2)))+IF(UPPER(L11)=UPPER(L5),L4,0)+IF(UPPER(M11)=UPPER(M5),M4,0)+IF(UPPER(N11)=UPPER(N5),N4,0)+IF(O11="",0,IF(LEN(SUBSTITUTE(SUBSTITUTE(UPPER(O11),"B",""),"C",""))&gt;0,0,IF(AND(ISNUMBER(FIND("B",UPPER(O11))),ISNUMBER(FIND("C",UPPER(O11)))),O4,O4/2)))+IF(UPPER(P11)=UPPER(P5),P4,0)+IF(UPPER(Q11)=UPPER(Q5),Q4,0)+IF(UPPER(R11)=UPPER(R5),R4,0)+IF(UPPER(S11)=UPPER(S5),S4,0)+IF(UPPER(T11)=UPPER(T5),T4,0)+IF(U11="",0,IF(LEN(SUBSTITUTE(SUBSTITUTE(UPPER(U11),"B",""),"D",""))&gt;0,0,IF(AND(ISNUMBER(FIND("B",UPPER(U11))),ISNUMBER(FIND("D",UPPER(U11)))),U4,U4/2)))+IF(V11="",0,IF(LEN(SUBSTITUTE(SUBSTITUTE(UPPER(V11),"A",""),"B",""))&gt;0,0,IF(AND(ISNUMBER(FIND("A",UPPER(V11))),ISNUMBER(FIND("B",UPPER(V11)))),V4,V4/2)))+IF(UPPER(W11)=UPPER(W5),W4,0)+IF(UPPER(X11)=UPPER(X5),X4,0)+IF(UPPER(Y11)=UPPER(Y5),Y4,0)+IF(UPPER(Z11)=UPPER(Z5),Z4,0)+IF(AA11="",0,IF(LEN(SUBSTITUTE(SUBSTITUTE(UPPER(AA11),"B",""),"D",""))&gt;0,0,IF(AND(ISNUMBER(FIND("B",UPPER(AA11))),ISNUMBER(FIND("D",UPPER(AA11)))),AA4,AA4/2)))+IF(AB11="",0,IF(LEN(SUBSTITUTE(SUBSTITUTE(UPPER(AB11),"B",""),"C",""))&gt;0,0,IF(AND(ISNUMBER(FIND("B",UPPER(AB11))),ISNUMBER(FIND("C",UPPER(AB11)))),AB4,AB4/2)))+IF(UPPER(AC11)=UPPER(AC5),AC4,0)+IF(UPPER(AD11)=UPPER(AD5),AD4,0)+IF(UPPER(AE11)=UPPER(AE5),AE4,0)+IF(UPPER(AF11)=UPPER(AF5),AF4,0)+IF(UPPER(AG11)=UPPER(AG5),AG4,0)+IF(UPPER(AH11)=UPPER(AH5),AH4,0)+IF(AI11="",0,IF(LEN(SUBSTITUTE(SUBSTITUTE(UPPER(AI11),"B",""),"D",""))&gt;0,0,IF(AND(ISNUMBER(FIND("B",UPPER(AI11))),ISNUMBER(FIND("D",UPPER(AI11)))),AI4,AI4/2)))+IF(UPPER(AJ11)=UPPER(AJ5),AJ4,0)+IF(UPPER(AK11)=UPPER(AK5),AK4,0)+IF(UPPER(AL11)=UPPER(AL5),AL4,0)+IF(UPPER(AM11)=UPPER(AM5),AM4,0)+IF(AN11="",0,IF(LEN(SUBSTITUTE(SUBSTITUTE(UPPER(AN11),"B",""),"C",""))&gt;0,0,IF(AND(ISNUMBER(FIND("B",UPPER(AN11))),ISNUMBER(FIND("C",UPPER(AN11)))),AN4,AN4/2)))+IF(UPPER(AO11)=UPPER(AO5),AO4,0)+IF(UPPER(AP11)=UPPER(AP5),AP4,0)+IF(UPPER(AQ11)=UPPER(AQ5),AQ4,0)+IF(AR11="",0,IF(LEN(SUBSTITUTE(SUBSTITUTE(UPPER(AR11),"B",""),"C",""))&gt;0,0,IF(AND(ISNUMBER(FIND("B",UPPER(AR11))),ISNUMBER(FIND("C",UPPER(AR11)))),AR4,AR4/2)))</f>
        <v>90</v>
      </c>
      <c r="E11" s="13" t="s">
        <v>63</v>
      </c>
      <c r="F11" s="13" t="s">
        <v>60</v>
      </c>
      <c r="G11" s="13" t="s">
        <v>67</v>
      </c>
      <c r="H11" s="13" t="s">
        <v>60</v>
      </c>
      <c r="I11" s="13" t="s">
        <v>64</v>
      </c>
      <c r="J11" s="13" t="s">
        <v>61</v>
      </c>
      <c r="K11" s="13" t="s">
        <v>74</v>
      </c>
      <c r="L11" s="13" t="s">
        <v>63</v>
      </c>
      <c r="M11" s="13" t="s">
        <v>61</v>
      </c>
      <c r="N11" s="13" t="s">
        <v>64</v>
      </c>
      <c r="O11" s="13" t="s">
        <v>73</v>
      </c>
      <c r="P11" s="13" t="s">
        <v>61</v>
      </c>
      <c r="Q11" s="13" t="s">
        <v>60</v>
      </c>
      <c r="R11" s="13" t="s">
        <v>61</v>
      </c>
      <c r="S11" s="13" t="s">
        <v>64</v>
      </c>
      <c r="T11" s="13" t="s">
        <v>63</v>
      </c>
      <c r="U11" s="13" t="s">
        <v>74</v>
      </c>
      <c r="V11" s="13" t="s">
        <v>66</v>
      </c>
      <c r="W11" s="13" t="s">
        <v>63</v>
      </c>
      <c r="X11" s="13" t="s">
        <v>60</v>
      </c>
      <c r="Y11" s="13" t="s">
        <v>61</v>
      </c>
      <c r="Z11" s="13" t="s">
        <v>61</v>
      </c>
      <c r="AA11" s="13" t="s">
        <v>182</v>
      </c>
      <c r="AB11" s="13" t="s">
        <v>73</v>
      </c>
      <c r="AC11" s="13" t="s">
        <v>61</v>
      </c>
      <c r="AD11" s="13" t="s">
        <v>64</v>
      </c>
      <c r="AE11" s="13" t="s">
        <v>60</v>
      </c>
      <c r="AF11" s="13" t="s">
        <v>60</v>
      </c>
      <c r="AG11" s="13" t="s">
        <v>64</v>
      </c>
      <c r="AH11" s="13" t="s">
        <v>64</v>
      </c>
      <c r="AI11" s="13" t="s">
        <v>179</v>
      </c>
      <c r="AJ11" s="13" t="s">
        <v>64</v>
      </c>
      <c r="AK11" s="13" t="s">
        <v>63</v>
      </c>
      <c r="AL11" s="13" t="s">
        <v>64</v>
      </c>
      <c r="AM11" s="13" t="s">
        <v>63</v>
      </c>
      <c r="AN11" s="13" t="s">
        <v>73</v>
      </c>
      <c r="AO11" s="13" t="s">
        <v>60</v>
      </c>
      <c r="AP11" s="13" t="s">
        <v>63</v>
      </c>
      <c r="AQ11" s="13" t="s">
        <v>63</v>
      </c>
      <c r="AR11" s="13" t="s">
        <v>73</v>
      </c>
    </row>
    <row r="12">
      <c r="A12" s="10">
        <v>2.023905419E9</v>
      </c>
      <c r="B12" s="10" t="s">
        <v>183</v>
      </c>
      <c r="C12" s="10" t="s">
        <v>184</v>
      </c>
      <c r="D12" s="12">
        <f>IF(UPPER(E12)=UPPER(E5),E4,0)+IF(UPPER(F12)=UPPER(F5),F4,0)+IF(G12="",0,IF(LEN(SUBSTITUTE(SUBSTITUTE(UPPER(G12),"A",""),"D",""))&gt;0,0,IF(AND(ISNUMBER(FIND("A",UPPER(G12))),ISNUMBER(FIND("D",UPPER(G12)))),G4,G4/2)))+IF(UPPER(H12)=UPPER(H5),H4,0)+IF(UPPER(I12)=UPPER(I5),I4,0)+IF(UPPER(J12)=UPPER(J5),J4,0)+IF(K12="",0,IF(LEN(SUBSTITUTE(SUBSTITUTE(UPPER(K12),"B",""),"D",""))&gt;0,0,IF(AND(ISNUMBER(FIND("B",UPPER(K12))),ISNUMBER(FIND("D",UPPER(K12)))),K4,K4/2)))+IF(UPPER(L12)=UPPER(L5),L4,0)+IF(UPPER(M12)=UPPER(M5),M4,0)+IF(UPPER(N12)=UPPER(N5),N4,0)+IF(O12="",0,IF(LEN(SUBSTITUTE(SUBSTITUTE(UPPER(O12),"B",""),"C",""))&gt;0,0,IF(AND(ISNUMBER(FIND("B",UPPER(O12))),ISNUMBER(FIND("C",UPPER(O12)))),O4,O4/2)))+IF(UPPER(P12)=UPPER(P5),P4,0)+IF(UPPER(Q12)=UPPER(Q5),Q4,0)+IF(UPPER(R12)=UPPER(R5),R4,0)+IF(UPPER(S12)=UPPER(S5),S4,0)+IF(UPPER(T12)=UPPER(T5),T4,0)+IF(U12="",0,IF(LEN(SUBSTITUTE(SUBSTITUTE(UPPER(U12),"B",""),"D",""))&gt;0,0,IF(AND(ISNUMBER(FIND("B",UPPER(U12))),ISNUMBER(FIND("D",UPPER(U12)))),U4,U4/2)))+IF(V12="",0,IF(LEN(SUBSTITUTE(SUBSTITUTE(UPPER(V12),"A",""),"B",""))&gt;0,0,IF(AND(ISNUMBER(FIND("A",UPPER(V12))),ISNUMBER(FIND("B",UPPER(V12)))),V4,V4/2)))+IF(UPPER(W12)=UPPER(W5),W4,0)+IF(UPPER(X12)=UPPER(X5),X4,0)+IF(UPPER(Y12)=UPPER(Y5),Y4,0)+IF(UPPER(Z12)=UPPER(Z5),Z4,0)+IF(AA12="",0,IF(LEN(SUBSTITUTE(SUBSTITUTE(UPPER(AA12),"B",""),"D",""))&gt;0,0,IF(AND(ISNUMBER(FIND("B",UPPER(AA12))),ISNUMBER(FIND("D",UPPER(AA12)))),AA4,AA4/2)))+IF(AB12="",0,IF(LEN(SUBSTITUTE(SUBSTITUTE(UPPER(AB12),"B",""),"C",""))&gt;0,0,IF(AND(ISNUMBER(FIND("B",UPPER(AB12))),ISNUMBER(FIND("C",UPPER(AB12)))),AB4,AB4/2)))+IF(UPPER(AC12)=UPPER(AC5),AC4,0)+IF(UPPER(AD12)=UPPER(AD5),AD4,0)+IF(UPPER(AE12)=UPPER(AE5),AE4,0)+IF(UPPER(AF12)=UPPER(AF5),AF4,0)+IF(UPPER(AG12)=UPPER(AG5),AG4,0)+IF(UPPER(AH12)=UPPER(AH5),AH4,0)+IF(AI12="",0,IF(LEN(SUBSTITUTE(SUBSTITUTE(UPPER(AI12),"B",""),"D",""))&gt;0,0,IF(AND(ISNUMBER(FIND("B",UPPER(AI12))),ISNUMBER(FIND("D",UPPER(AI12)))),AI4,AI4/2)))+IF(UPPER(AJ12)=UPPER(AJ5),AJ4,0)+IF(UPPER(AK12)=UPPER(AK5),AK4,0)+IF(UPPER(AL12)=UPPER(AL5),AL4,0)+IF(UPPER(AM12)=UPPER(AM5),AM4,0)+IF(AN12="",0,IF(LEN(SUBSTITUTE(SUBSTITUTE(UPPER(AN12),"B",""),"C",""))&gt;0,0,IF(AND(ISNUMBER(FIND("B",UPPER(AN12))),ISNUMBER(FIND("C",UPPER(AN12)))),AN4,AN4/2)))+IF(UPPER(AO12)=UPPER(AO5),AO4,0)+IF(UPPER(AP12)=UPPER(AP5),AP4,0)+IF(UPPER(AQ12)=UPPER(AQ5),AQ4,0)+IF(AR12="",0,IF(LEN(SUBSTITUTE(SUBSTITUTE(UPPER(AR12),"B",""),"C",""))&gt;0,0,IF(AND(ISNUMBER(FIND("B",UPPER(AR12))),ISNUMBER(FIND("C",UPPER(AR12)))),AR4,AR4/2)))</f>
        <v>96.25</v>
      </c>
      <c r="E12" s="13" t="s">
        <v>63</v>
      </c>
      <c r="F12" s="13" t="s">
        <v>60</v>
      </c>
      <c r="G12" s="13" t="s">
        <v>67</v>
      </c>
      <c r="H12" s="13" t="s">
        <v>60</v>
      </c>
      <c r="I12" s="13" t="s">
        <v>61</v>
      </c>
      <c r="J12" s="13" t="s">
        <v>61</v>
      </c>
      <c r="K12" s="13" t="s">
        <v>74</v>
      </c>
      <c r="L12" s="13" t="s">
        <v>63</v>
      </c>
      <c r="M12" s="13" t="s">
        <v>63</v>
      </c>
      <c r="N12" s="13" t="s">
        <v>64</v>
      </c>
      <c r="O12" s="13" t="s">
        <v>73</v>
      </c>
      <c r="P12" s="13" t="s">
        <v>61</v>
      </c>
      <c r="Q12" s="13" t="s">
        <v>60</v>
      </c>
      <c r="R12" s="13" t="s">
        <v>61</v>
      </c>
      <c r="S12" s="13" t="s">
        <v>64</v>
      </c>
      <c r="T12" s="13" t="s">
        <v>63</v>
      </c>
      <c r="U12" s="13" t="s">
        <v>74</v>
      </c>
      <c r="V12" s="13" t="s">
        <v>66</v>
      </c>
      <c r="W12" s="13" t="s">
        <v>63</v>
      </c>
      <c r="X12" s="13" t="s">
        <v>60</v>
      </c>
      <c r="Y12" s="13" t="s">
        <v>60</v>
      </c>
      <c r="Z12" s="13" t="s">
        <v>61</v>
      </c>
      <c r="AA12" s="13" t="s">
        <v>74</v>
      </c>
      <c r="AB12" s="13" t="s">
        <v>60</v>
      </c>
      <c r="AC12" s="13" t="s">
        <v>61</v>
      </c>
      <c r="AD12" s="13" t="s">
        <v>64</v>
      </c>
      <c r="AE12" s="13" t="s">
        <v>60</v>
      </c>
      <c r="AF12" s="13" t="s">
        <v>60</v>
      </c>
      <c r="AG12" s="13" t="s">
        <v>64</v>
      </c>
      <c r="AH12" s="13" t="s">
        <v>64</v>
      </c>
      <c r="AI12" s="13" t="s">
        <v>74</v>
      </c>
      <c r="AJ12" s="13" t="s">
        <v>64</v>
      </c>
      <c r="AK12" s="13" t="s">
        <v>63</v>
      </c>
      <c r="AL12" s="13" t="s">
        <v>64</v>
      </c>
      <c r="AM12" s="13" t="s">
        <v>63</v>
      </c>
      <c r="AN12" s="13" t="s">
        <v>73</v>
      </c>
      <c r="AO12" s="13" t="s">
        <v>60</v>
      </c>
      <c r="AP12" s="13" t="s">
        <v>63</v>
      </c>
      <c r="AQ12" s="13" t="s">
        <v>63</v>
      </c>
      <c r="AR12" s="13" t="s">
        <v>73</v>
      </c>
    </row>
    <row r="13">
      <c r="A13" s="10">
        <v>2.023901701E9</v>
      </c>
      <c r="B13" s="10" t="s">
        <v>185</v>
      </c>
      <c r="C13" s="10" t="s">
        <v>186</v>
      </c>
      <c r="D13" s="12">
        <f>IF(UPPER(E13)=UPPER(E5),E4,0)+IF(UPPER(F13)=UPPER(F5),F4,0)+IF(G13="",0,IF(LEN(SUBSTITUTE(SUBSTITUTE(UPPER(G13),"A",""),"D",""))&gt;0,0,IF(AND(ISNUMBER(FIND("A",UPPER(G13))),ISNUMBER(FIND("D",UPPER(G13)))),G4,G4/2)))+IF(UPPER(H13)=UPPER(H5),H4,0)+IF(UPPER(I13)=UPPER(I5),I4,0)+IF(UPPER(J13)=UPPER(J5),J4,0)+IF(K13="",0,IF(LEN(SUBSTITUTE(SUBSTITUTE(UPPER(K13),"B",""),"D",""))&gt;0,0,IF(AND(ISNUMBER(FIND("B",UPPER(K13))),ISNUMBER(FIND("D",UPPER(K13)))),K4,K4/2)))+IF(UPPER(L13)=UPPER(L5),L4,0)+IF(UPPER(M13)=UPPER(M5),M4,0)+IF(UPPER(N13)=UPPER(N5),N4,0)+IF(O13="",0,IF(LEN(SUBSTITUTE(SUBSTITUTE(UPPER(O13),"B",""),"C",""))&gt;0,0,IF(AND(ISNUMBER(FIND("B",UPPER(O13))),ISNUMBER(FIND("C",UPPER(O13)))),O4,O4/2)))+IF(UPPER(P13)=UPPER(P5),P4,0)+IF(UPPER(Q13)=UPPER(Q5),Q4,0)+IF(UPPER(R13)=UPPER(R5),R4,0)+IF(UPPER(S13)=UPPER(S5),S4,0)+IF(UPPER(T13)=UPPER(T5),T4,0)+IF(U13="",0,IF(LEN(SUBSTITUTE(SUBSTITUTE(UPPER(U13),"B",""),"D",""))&gt;0,0,IF(AND(ISNUMBER(FIND("B",UPPER(U13))),ISNUMBER(FIND("D",UPPER(U13)))),U4,U4/2)))+IF(V13="",0,IF(LEN(SUBSTITUTE(SUBSTITUTE(UPPER(V13),"A",""),"B",""))&gt;0,0,IF(AND(ISNUMBER(FIND("A",UPPER(V13))),ISNUMBER(FIND("B",UPPER(V13)))),V4,V4/2)))+IF(UPPER(W13)=UPPER(W5),W4,0)+IF(UPPER(X13)=UPPER(X5),X4,0)+IF(UPPER(Y13)=UPPER(Y5),Y4,0)+IF(UPPER(Z13)=UPPER(Z5),Z4,0)+IF(AA13="",0,IF(LEN(SUBSTITUTE(SUBSTITUTE(UPPER(AA13),"B",""),"D",""))&gt;0,0,IF(AND(ISNUMBER(FIND("B",UPPER(AA13))),ISNUMBER(FIND("D",UPPER(AA13)))),AA4,AA4/2)))+IF(AB13="",0,IF(LEN(SUBSTITUTE(SUBSTITUTE(UPPER(AB13),"B",""),"C",""))&gt;0,0,IF(AND(ISNUMBER(FIND("B",UPPER(AB13))),ISNUMBER(FIND("C",UPPER(AB13)))),AB4,AB4/2)))+IF(UPPER(AC13)=UPPER(AC5),AC4,0)+IF(UPPER(AD13)=UPPER(AD5),AD4,0)+IF(UPPER(AE13)=UPPER(AE5),AE4,0)+IF(UPPER(AF13)=UPPER(AF5),AF4,0)+IF(UPPER(AG13)=UPPER(AG5),AG4,0)+IF(UPPER(AH13)=UPPER(AH5),AH4,0)+IF(AI13="",0,IF(LEN(SUBSTITUTE(SUBSTITUTE(UPPER(AI13),"B",""),"D",""))&gt;0,0,IF(AND(ISNUMBER(FIND("B",UPPER(AI13))),ISNUMBER(FIND("D",UPPER(AI13)))),AI4,AI4/2)))+IF(UPPER(AJ13)=UPPER(AJ5),AJ4,0)+IF(UPPER(AK13)=UPPER(AK5),AK4,0)+IF(UPPER(AL13)=UPPER(AL5),AL4,0)+IF(UPPER(AM13)=UPPER(AM5),AM4,0)+IF(AN13="",0,IF(LEN(SUBSTITUTE(SUBSTITUTE(UPPER(AN13),"B",""),"C",""))&gt;0,0,IF(AND(ISNUMBER(FIND("B",UPPER(AN13))),ISNUMBER(FIND("C",UPPER(AN13)))),AN4,AN4/2)))+IF(UPPER(AO13)=UPPER(AO5),AO4,0)+IF(UPPER(AP13)=UPPER(AP5),AP4,0)+IF(UPPER(AQ13)=UPPER(AQ5),AQ4,0)+IF(AR13="",0,IF(LEN(SUBSTITUTE(SUBSTITUTE(UPPER(AR13),"B",""),"C",""))&gt;0,0,IF(AND(ISNUMBER(FIND("B",UPPER(AR13))),ISNUMBER(FIND("C",UPPER(AR13)))),AR4,AR4/2)))</f>
        <v>87.5</v>
      </c>
      <c r="E13" s="13" t="s">
        <v>63</v>
      </c>
      <c r="F13" s="13" t="s">
        <v>63</v>
      </c>
      <c r="G13" s="13" t="s">
        <v>67</v>
      </c>
      <c r="H13" s="13" t="s">
        <v>60</v>
      </c>
      <c r="I13" s="13" t="s">
        <v>61</v>
      </c>
      <c r="J13" s="13" t="s">
        <v>61</v>
      </c>
      <c r="K13" s="13" t="s">
        <v>125</v>
      </c>
      <c r="L13" s="13" t="s">
        <v>63</v>
      </c>
      <c r="M13" s="13" t="s">
        <v>63</v>
      </c>
      <c r="N13" s="13" t="s">
        <v>64</v>
      </c>
      <c r="O13" s="13" t="s">
        <v>73</v>
      </c>
      <c r="P13" s="13" t="s">
        <v>61</v>
      </c>
      <c r="Q13" s="13" t="s">
        <v>60</v>
      </c>
      <c r="R13" s="13" t="s">
        <v>61</v>
      </c>
      <c r="S13" s="13" t="s">
        <v>64</v>
      </c>
      <c r="T13" s="13" t="s">
        <v>63</v>
      </c>
      <c r="U13" s="13" t="s">
        <v>74</v>
      </c>
      <c r="V13" s="13" t="s">
        <v>66</v>
      </c>
      <c r="W13" s="13" t="s">
        <v>63</v>
      </c>
      <c r="X13" s="13" t="s">
        <v>60</v>
      </c>
      <c r="Y13" s="13" t="s">
        <v>61</v>
      </c>
      <c r="Z13" s="13" t="s">
        <v>61</v>
      </c>
      <c r="AA13" s="13" t="s">
        <v>74</v>
      </c>
      <c r="AB13" s="13" t="s">
        <v>73</v>
      </c>
      <c r="AC13" s="13" t="s">
        <v>61</v>
      </c>
      <c r="AD13" s="13" t="s">
        <v>61</v>
      </c>
      <c r="AE13" s="13" t="s">
        <v>60</v>
      </c>
      <c r="AF13" s="13" t="s">
        <v>60</v>
      </c>
      <c r="AG13" s="13" t="s">
        <v>64</v>
      </c>
      <c r="AH13" s="13" t="s">
        <v>64</v>
      </c>
      <c r="AI13" s="13" t="s">
        <v>179</v>
      </c>
      <c r="AJ13" s="13" t="s">
        <v>64</v>
      </c>
      <c r="AK13" s="13" t="s">
        <v>63</v>
      </c>
      <c r="AL13" s="13" t="s">
        <v>64</v>
      </c>
      <c r="AM13" s="13" t="s">
        <v>63</v>
      </c>
      <c r="AN13" s="13" t="s">
        <v>73</v>
      </c>
      <c r="AO13" s="13" t="s">
        <v>60</v>
      </c>
      <c r="AP13" s="13" t="s">
        <v>63</v>
      </c>
      <c r="AQ13" s="13" t="s">
        <v>64</v>
      </c>
      <c r="AR13" s="13" t="s">
        <v>73</v>
      </c>
    </row>
    <row r="14">
      <c r="A14" s="10">
        <v>2.023903115E9</v>
      </c>
      <c r="B14" s="10" t="s">
        <v>187</v>
      </c>
      <c r="C14" s="10" t="s">
        <v>188</v>
      </c>
      <c r="D14" s="12">
        <f>IF(UPPER(E14)=UPPER(E5),E4,0)+IF(UPPER(F14)=UPPER(F5),F4,0)+IF(G14="",0,IF(LEN(SUBSTITUTE(SUBSTITUTE(UPPER(G14),"A",""),"D",""))&gt;0,0,IF(AND(ISNUMBER(FIND("A",UPPER(G14))),ISNUMBER(FIND("D",UPPER(G14)))),G4,G4/2)))+IF(UPPER(H14)=UPPER(H5),H4,0)+IF(UPPER(I14)=UPPER(I5),I4,0)+IF(UPPER(J14)=UPPER(J5),J4,0)+IF(K14="",0,IF(LEN(SUBSTITUTE(SUBSTITUTE(UPPER(K14),"B",""),"D",""))&gt;0,0,IF(AND(ISNUMBER(FIND("B",UPPER(K14))),ISNUMBER(FIND("D",UPPER(K14)))),K4,K4/2)))+IF(UPPER(L14)=UPPER(L5),L4,0)+IF(UPPER(M14)=UPPER(M5),M4,0)+IF(UPPER(N14)=UPPER(N5),N4,0)+IF(O14="",0,IF(LEN(SUBSTITUTE(SUBSTITUTE(UPPER(O14),"B",""),"C",""))&gt;0,0,IF(AND(ISNUMBER(FIND("B",UPPER(O14))),ISNUMBER(FIND("C",UPPER(O14)))),O4,O4/2)))+IF(UPPER(P14)=UPPER(P5),P4,0)+IF(UPPER(Q14)=UPPER(Q5),Q4,0)+IF(UPPER(R14)=UPPER(R5),R4,0)+IF(UPPER(S14)=UPPER(S5),S4,0)+IF(UPPER(T14)=UPPER(T5),T4,0)+IF(U14="",0,IF(LEN(SUBSTITUTE(SUBSTITUTE(UPPER(U14),"B",""),"D",""))&gt;0,0,IF(AND(ISNUMBER(FIND("B",UPPER(U14))),ISNUMBER(FIND("D",UPPER(U14)))),U4,U4/2)))+IF(V14="",0,IF(LEN(SUBSTITUTE(SUBSTITUTE(UPPER(V14),"A",""),"B",""))&gt;0,0,IF(AND(ISNUMBER(FIND("A",UPPER(V14))),ISNUMBER(FIND("B",UPPER(V14)))),V4,V4/2)))+IF(UPPER(W14)=UPPER(W5),W4,0)+IF(UPPER(X14)=UPPER(X5),X4,0)+IF(UPPER(Y14)=UPPER(Y5),Y4,0)+IF(UPPER(Z14)=UPPER(Z5),Z4,0)+IF(AA14="",0,IF(LEN(SUBSTITUTE(SUBSTITUTE(UPPER(AA14),"B",""),"D",""))&gt;0,0,IF(AND(ISNUMBER(FIND("B",UPPER(AA14))),ISNUMBER(FIND("D",UPPER(AA14)))),AA4,AA4/2)))+IF(AB14="",0,IF(LEN(SUBSTITUTE(SUBSTITUTE(UPPER(AB14),"B",""),"C",""))&gt;0,0,IF(AND(ISNUMBER(FIND("B",UPPER(AB14))),ISNUMBER(FIND("C",UPPER(AB14)))),AB4,AB4/2)))+IF(UPPER(AC14)=UPPER(AC5),AC4,0)+IF(UPPER(AD14)=UPPER(AD5),AD4,0)+IF(UPPER(AE14)=UPPER(AE5),AE4,0)+IF(UPPER(AF14)=UPPER(AF5),AF4,0)+IF(UPPER(AG14)=UPPER(AG5),AG4,0)+IF(UPPER(AH14)=UPPER(AH5),AH4,0)+IF(AI14="",0,IF(LEN(SUBSTITUTE(SUBSTITUTE(UPPER(AI14),"B",""),"D",""))&gt;0,0,IF(AND(ISNUMBER(FIND("B",UPPER(AI14))),ISNUMBER(FIND("D",UPPER(AI14)))),AI4,AI4/2)))+IF(UPPER(AJ14)=UPPER(AJ5),AJ4,0)+IF(UPPER(AK14)=UPPER(AK5),AK4,0)+IF(UPPER(AL14)=UPPER(AL5),AL4,0)+IF(UPPER(AM14)=UPPER(AM5),AM4,0)+IF(AN14="",0,IF(LEN(SUBSTITUTE(SUBSTITUTE(UPPER(AN14),"B",""),"C",""))&gt;0,0,IF(AND(ISNUMBER(FIND("B",UPPER(AN14))),ISNUMBER(FIND("C",UPPER(AN14)))),AN4,AN4/2)))+IF(UPPER(AO14)=UPPER(AO5),AO4,0)+IF(UPPER(AP14)=UPPER(AP5),AP4,0)+IF(UPPER(AQ14)=UPPER(AQ5),AQ4,0)+IF(AR14="",0,IF(LEN(SUBSTITUTE(SUBSTITUTE(UPPER(AR14),"B",""),"C",""))&gt;0,0,IF(AND(ISNUMBER(FIND("B",UPPER(AR14))),ISNUMBER(FIND("C",UPPER(AR14)))),AR4,AR4/2)))</f>
        <v>91.25</v>
      </c>
      <c r="E14" s="13" t="s">
        <v>63</v>
      </c>
      <c r="F14" s="13" t="s">
        <v>60</v>
      </c>
      <c r="G14" s="13" t="s">
        <v>67</v>
      </c>
      <c r="H14" s="13" t="s">
        <v>60</v>
      </c>
      <c r="I14" s="13" t="s">
        <v>61</v>
      </c>
      <c r="J14" s="13" t="s">
        <v>61</v>
      </c>
      <c r="K14" s="13" t="s">
        <v>74</v>
      </c>
      <c r="L14" s="13" t="s">
        <v>63</v>
      </c>
      <c r="M14" s="13" t="s">
        <v>63</v>
      </c>
      <c r="N14" s="13" t="s">
        <v>64</v>
      </c>
      <c r="O14" s="13" t="s">
        <v>73</v>
      </c>
      <c r="P14" s="13" t="s">
        <v>61</v>
      </c>
      <c r="Q14" s="13" t="s">
        <v>60</v>
      </c>
      <c r="R14" s="13" t="s">
        <v>61</v>
      </c>
      <c r="S14" s="13" t="s">
        <v>64</v>
      </c>
      <c r="T14" s="13" t="s">
        <v>63</v>
      </c>
      <c r="U14" s="13" t="s">
        <v>74</v>
      </c>
      <c r="V14" s="13" t="s">
        <v>66</v>
      </c>
      <c r="W14" s="13" t="s">
        <v>63</v>
      </c>
      <c r="X14" s="13" t="s">
        <v>60</v>
      </c>
      <c r="Y14" s="13" t="s">
        <v>60</v>
      </c>
      <c r="Z14" s="13" t="s">
        <v>61</v>
      </c>
      <c r="AA14" s="13" t="s">
        <v>60</v>
      </c>
      <c r="AB14" s="13" t="s">
        <v>73</v>
      </c>
      <c r="AC14" s="13" t="s">
        <v>61</v>
      </c>
      <c r="AD14" s="13" t="s">
        <v>64</v>
      </c>
      <c r="AE14" s="13" t="s">
        <v>60</v>
      </c>
      <c r="AF14" s="13" t="s">
        <v>64</v>
      </c>
      <c r="AG14" s="13" t="s">
        <v>64</v>
      </c>
      <c r="AH14" s="13" t="s">
        <v>64</v>
      </c>
      <c r="AI14" s="13" t="s">
        <v>74</v>
      </c>
      <c r="AJ14" s="13" t="s">
        <v>64</v>
      </c>
      <c r="AK14" s="13" t="s">
        <v>63</v>
      </c>
      <c r="AL14" s="13" t="s">
        <v>64</v>
      </c>
      <c r="AM14" s="13" t="s">
        <v>63</v>
      </c>
      <c r="AN14" s="13" t="s">
        <v>73</v>
      </c>
      <c r="AO14" s="13" t="s">
        <v>60</v>
      </c>
      <c r="AP14" s="13" t="s">
        <v>63</v>
      </c>
      <c r="AQ14" s="13" t="s">
        <v>64</v>
      </c>
      <c r="AR14" s="13" t="s">
        <v>73</v>
      </c>
    </row>
    <row r="15">
      <c r="A15" s="10">
        <v>2.023902792E9</v>
      </c>
      <c r="B15" s="10" t="s">
        <v>189</v>
      </c>
      <c r="C15" s="10" t="s">
        <v>190</v>
      </c>
      <c r="D15" s="12">
        <f>IF(UPPER(E15)=UPPER(E5),E4,0)+IF(UPPER(F15)=UPPER(F5),F4,0)+IF(G15="",0,IF(LEN(SUBSTITUTE(SUBSTITUTE(UPPER(G15),"A",""),"D",""))&gt;0,0,IF(AND(ISNUMBER(FIND("A",UPPER(G15))),ISNUMBER(FIND("D",UPPER(G15)))),G4,G4/2)))+IF(UPPER(H15)=UPPER(H5),H4,0)+IF(UPPER(I15)=UPPER(I5),I4,0)+IF(UPPER(J15)=UPPER(J5),J4,0)+IF(K15="",0,IF(LEN(SUBSTITUTE(SUBSTITUTE(UPPER(K15),"B",""),"D",""))&gt;0,0,IF(AND(ISNUMBER(FIND("B",UPPER(K15))),ISNUMBER(FIND("D",UPPER(K15)))),K4,K4/2)))+IF(UPPER(L15)=UPPER(L5),L4,0)+IF(UPPER(M15)=UPPER(M5),M4,0)+IF(UPPER(N15)=UPPER(N5),N4,0)+IF(O15="",0,IF(LEN(SUBSTITUTE(SUBSTITUTE(UPPER(O15),"B",""),"C",""))&gt;0,0,IF(AND(ISNUMBER(FIND("B",UPPER(O15))),ISNUMBER(FIND("C",UPPER(O15)))),O4,O4/2)))+IF(UPPER(P15)=UPPER(P5),P4,0)+IF(UPPER(Q15)=UPPER(Q5),Q4,0)+IF(UPPER(R15)=UPPER(R5),R4,0)+IF(UPPER(S15)=UPPER(S5),S4,0)+IF(UPPER(T15)=UPPER(T5),T4,0)+IF(U15="",0,IF(LEN(SUBSTITUTE(SUBSTITUTE(UPPER(U15),"B",""),"D",""))&gt;0,0,IF(AND(ISNUMBER(FIND("B",UPPER(U15))),ISNUMBER(FIND("D",UPPER(U15)))),U4,U4/2)))+IF(V15="",0,IF(LEN(SUBSTITUTE(SUBSTITUTE(UPPER(V15),"A",""),"B",""))&gt;0,0,IF(AND(ISNUMBER(FIND("A",UPPER(V15))),ISNUMBER(FIND("B",UPPER(V15)))),V4,V4/2)))+IF(UPPER(W15)=UPPER(W5),W4,0)+IF(UPPER(X15)=UPPER(X5),X4,0)+IF(UPPER(Y15)=UPPER(Y5),Y4,0)+IF(UPPER(Z15)=UPPER(Z5),Z4,0)+IF(AA15="",0,IF(LEN(SUBSTITUTE(SUBSTITUTE(UPPER(AA15),"B",""),"D",""))&gt;0,0,IF(AND(ISNUMBER(FIND("B",UPPER(AA15))),ISNUMBER(FIND("D",UPPER(AA15)))),AA4,AA4/2)))+IF(AB15="",0,IF(LEN(SUBSTITUTE(SUBSTITUTE(UPPER(AB15),"B",""),"C",""))&gt;0,0,IF(AND(ISNUMBER(FIND("B",UPPER(AB15))),ISNUMBER(FIND("C",UPPER(AB15)))),AB4,AB4/2)))+IF(UPPER(AC15)=UPPER(AC5),AC4,0)+IF(UPPER(AD15)=UPPER(AD5),AD4,0)+IF(UPPER(AE15)=UPPER(AE5),AE4,0)+IF(UPPER(AF15)=UPPER(AF5),AF4,0)+IF(UPPER(AG15)=UPPER(AG5),AG4,0)+IF(UPPER(AH15)=UPPER(AH5),AH4,0)+IF(AI15="",0,IF(LEN(SUBSTITUTE(SUBSTITUTE(UPPER(AI15),"B",""),"D",""))&gt;0,0,IF(AND(ISNUMBER(FIND("B",UPPER(AI15))),ISNUMBER(FIND("D",UPPER(AI15)))),AI4,AI4/2)))+IF(UPPER(AJ15)=UPPER(AJ5),AJ4,0)+IF(UPPER(AK15)=UPPER(AK5),AK4,0)+IF(UPPER(AL15)=UPPER(AL5),AL4,0)+IF(UPPER(AM15)=UPPER(AM5),AM4,0)+IF(AN15="",0,IF(LEN(SUBSTITUTE(SUBSTITUTE(UPPER(AN15),"B",""),"C",""))&gt;0,0,IF(AND(ISNUMBER(FIND("B",UPPER(AN15))),ISNUMBER(FIND("C",UPPER(AN15)))),AN4,AN4/2)))+IF(UPPER(AO15)=UPPER(AO5),AO4,0)+IF(UPPER(AP15)=UPPER(AP5),AP4,0)+IF(UPPER(AQ15)=UPPER(AQ5),AQ4,0)+IF(AR15="",0,IF(LEN(SUBSTITUTE(SUBSTITUTE(UPPER(AR15),"B",""),"C",""))&gt;0,0,IF(AND(ISNUMBER(FIND("B",UPPER(AR15))),ISNUMBER(FIND("C",UPPER(AR15)))),AR4,AR4/2)))</f>
        <v>100</v>
      </c>
      <c r="E15" s="13" t="s">
        <v>63</v>
      </c>
      <c r="F15" s="13" t="s">
        <v>60</v>
      </c>
      <c r="G15" s="13" t="s">
        <v>67</v>
      </c>
      <c r="H15" s="13" t="s">
        <v>60</v>
      </c>
      <c r="I15" s="13" t="s">
        <v>61</v>
      </c>
      <c r="J15" s="13" t="s">
        <v>61</v>
      </c>
      <c r="K15" s="13" t="s">
        <v>74</v>
      </c>
      <c r="L15" s="13" t="s">
        <v>63</v>
      </c>
      <c r="M15" s="13" t="s">
        <v>63</v>
      </c>
      <c r="N15" s="13" t="s">
        <v>64</v>
      </c>
      <c r="O15" s="13" t="s">
        <v>73</v>
      </c>
      <c r="P15" s="13" t="s">
        <v>61</v>
      </c>
      <c r="Q15" s="13" t="s">
        <v>60</v>
      </c>
      <c r="R15" s="13" t="s">
        <v>61</v>
      </c>
      <c r="S15" s="13" t="s">
        <v>64</v>
      </c>
      <c r="T15" s="13" t="s">
        <v>63</v>
      </c>
      <c r="U15" s="13" t="s">
        <v>74</v>
      </c>
      <c r="V15" s="13" t="s">
        <v>66</v>
      </c>
      <c r="W15" s="13" t="s">
        <v>63</v>
      </c>
      <c r="X15" s="13" t="s">
        <v>60</v>
      </c>
      <c r="Y15" s="13" t="s">
        <v>61</v>
      </c>
      <c r="Z15" s="13" t="s">
        <v>61</v>
      </c>
      <c r="AA15" s="13" t="s">
        <v>74</v>
      </c>
      <c r="AB15" s="13" t="s">
        <v>73</v>
      </c>
      <c r="AC15" s="13" t="s">
        <v>61</v>
      </c>
      <c r="AD15" s="13" t="s">
        <v>64</v>
      </c>
      <c r="AE15" s="13" t="s">
        <v>60</v>
      </c>
      <c r="AF15" s="13" t="s">
        <v>60</v>
      </c>
      <c r="AG15" s="13" t="s">
        <v>64</v>
      </c>
      <c r="AH15" s="13" t="s">
        <v>64</v>
      </c>
      <c r="AI15" s="13" t="s">
        <v>74</v>
      </c>
      <c r="AJ15" s="13" t="s">
        <v>64</v>
      </c>
      <c r="AK15" s="13" t="s">
        <v>63</v>
      </c>
      <c r="AL15" s="13" t="s">
        <v>64</v>
      </c>
      <c r="AM15" s="13" t="s">
        <v>63</v>
      </c>
      <c r="AN15" s="13" t="s">
        <v>73</v>
      </c>
      <c r="AO15" s="13" t="s">
        <v>60</v>
      </c>
      <c r="AP15" s="13" t="s">
        <v>63</v>
      </c>
      <c r="AQ15" s="13" t="s">
        <v>63</v>
      </c>
      <c r="AR15" s="13" t="s">
        <v>73</v>
      </c>
    </row>
    <row r="16">
      <c r="A16" s="10">
        <v>2.02390279E9</v>
      </c>
      <c r="B16" s="10" t="s">
        <v>191</v>
      </c>
      <c r="C16" s="10" t="s">
        <v>192</v>
      </c>
      <c r="D16" s="12">
        <f>IF(UPPER(E16)=UPPER(E5),E4,0)+IF(UPPER(F16)=UPPER(F5),F4,0)+IF(G16="",0,IF(LEN(SUBSTITUTE(SUBSTITUTE(UPPER(G16),"A",""),"D",""))&gt;0,0,IF(AND(ISNUMBER(FIND("A",UPPER(G16))),ISNUMBER(FIND("D",UPPER(G16)))),G4,G4/2)))+IF(UPPER(H16)=UPPER(H5),H4,0)+IF(UPPER(I16)=UPPER(I5),I4,0)+IF(UPPER(J16)=UPPER(J5),J4,0)+IF(K16="",0,IF(LEN(SUBSTITUTE(SUBSTITUTE(UPPER(K16),"B",""),"D",""))&gt;0,0,IF(AND(ISNUMBER(FIND("B",UPPER(K16))),ISNUMBER(FIND("D",UPPER(K16)))),K4,K4/2)))+IF(UPPER(L16)=UPPER(L5),L4,0)+IF(UPPER(M16)=UPPER(M5),M4,0)+IF(UPPER(N16)=UPPER(N5),N4,0)+IF(O16="",0,IF(LEN(SUBSTITUTE(SUBSTITUTE(UPPER(O16),"B",""),"C",""))&gt;0,0,IF(AND(ISNUMBER(FIND("B",UPPER(O16))),ISNUMBER(FIND("C",UPPER(O16)))),O4,O4/2)))+IF(UPPER(P16)=UPPER(P5),P4,0)+IF(UPPER(Q16)=UPPER(Q5),Q4,0)+IF(UPPER(R16)=UPPER(R5),R4,0)+IF(UPPER(S16)=UPPER(S5),S4,0)+IF(UPPER(T16)=UPPER(T5),T4,0)+IF(U16="",0,IF(LEN(SUBSTITUTE(SUBSTITUTE(UPPER(U16),"B",""),"D",""))&gt;0,0,IF(AND(ISNUMBER(FIND("B",UPPER(U16))),ISNUMBER(FIND("D",UPPER(U16)))),U4,U4/2)))+IF(V16="",0,IF(LEN(SUBSTITUTE(SUBSTITUTE(UPPER(V16),"A",""),"B",""))&gt;0,0,IF(AND(ISNUMBER(FIND("A",UPPER(V16))),ISNUMBER(FIND("B",UPPER(V16)))),V4,V4/2)))+IF(UPPER(W16)=UPPER(W5),W4,0)+IF(UPPER(X16)=UPPER(X5),X4,0)+IF(UPPER(Y16)=UPPER(Y5),Y4,0)+IF(UPPER(Z16)=UPPER(Z5),Z4,0)+IF(AA16="",0,IF(LEN(SUBSTITUTE(SUBSTITUTE(UPPER(AA16),"B",""),"D",""))&gt;0,0,IF(AND(ISNUMBER(FIND("B",UPPER(AA16))),ISNUMBER(FIND("D",UPPER(AA16)))),AA4,AA4/2)))+IF(AB16="",0,IF(LEN(SUBSTITUTE(SUBSTITUTE(UPPER(AB16),"B",""),"C",""))&gt;0,0,IF(AND(ISNUMBER(FIND("B",UPPER(AB16))),ISNUMBER(FIND("C",UPPER(AB16)))),AB4,AB4/2)))+IF(UPPER(AC16)=UPPER(AC5),AC4,0)+IF(UPPER(AD16)=UPPER(AD5),AD4,0)+IF(UPPER(AE16)=UPPER(AE5),AE4,0)+IF(UPPER(AF16)=UPPER(AF5),AF4,0)+IF(UPPER(AG16)=UPPER(AG5),AG4,0)+IF(UPPER(AH16)=UPPER(AH5),AH4,0)+IF(AI16="",0,IF(LEN(SUBSTITUTE(SUBSTITUTE(UPPER(AI16),"B",""),"D",""))&gt;0,0,IF(AND(ISNUMBER(FIND("B",UPPER(AI16))),ISNUMBER(FIND("D",UPPER(AI16)))),AI4,AI4/2)))+IF(UPPER(AJ16)=UPPER(AJ5),AJ4,0)+IF(UPPER(AK16)=UPPER(AK5),AK4,0)+IF(UPPER(AL16)=UPPER(AL5),AL4,0)+IF(UPPER(AM16)=UPPER(AM5),AM4,0)+IF(AN16="",0,IF(LEN(SUBSTITUTE(SUBSTITUTE(UPPER(AN16),"B",""),"C",""))&gt;0,0,IF(AND(ISNUMBER(FIND("B",UPPER(AN16))),ISNUMBER(FIND("C",UPPER(AN16)))),AN4,AN4/2)))+IF(UPPER(AO16)=UPPER(AO5),AO4,0)+IF(UPPER(AP16)=UPPER(AP5),AP4,0)+IF(UPPER(AQ16)=UPPER(AQ5),AQ4,0)+IF(AR16="",0,IF(LEN(SUBSTITUTE(SUBSTITUTE(UPPER(AR16),"B",""),"C",""))&gt;0,0,IF(AND(ISNUMBER(FIND("B",UPPER(AR16))),ISNUMBER(FIND("C",UPPER(AR16)))),AR4,AR4/2)))</f>
        <v>77.5</v>
      </c>
      <c r="E16" s="13" t="s">
        <v>61</v>
      </c>
      <c r="F16" s="13" t="s">
        <v>60</v>
      </c>
      <c r="G16" s="13" t="s">
        <v>62</v>
      </c>
      <c r="H16" s="13" t="s">
        <v>60</v>
      </c>
      <c r="I16" s="13" t="s">
        <v>61</v>
      </c>
      <c r="J16" s="13" t="s">
        <v>61</v>
      </c>
      <c r="K16" s="13" t="s">
        <v>74</v>
      </c>
      <c r="L16" s="13" t="s">
        <v>63</v>
      </c>
      <c r="M16" s="13" t="s">
        <v>63</v>
      </c>
      <c r="N16" s="13" t="s">
        <v>64</v>
      </c>
      <c r="O16" s="13" t="s">
        <v>73</v>
      </c>
      <c r="P16" s="13" t="s">
        <v>61</v>
      </c>
      <c r="Q16" s="13" t="s">
        <v>60</v>
      </c>
      <c r="R16" s="13" t="s">
        <v>61</v>
      </c>
      <c r="S16" s="13" t="s">
        <v>63</v>
      </c>
      <c r="T16" s="13" t="s">
        <v>63</v>
      </c>
      <c r="U16" s="13" t="s">
        <v>67</v>
      </c>
      <c r="V16" s="13" t="s">
        <v>66</v>
      </c>
      <c r="W16" s="13" t="s">
        <v>63</v>
      </c>
      <c r="X16" s="13" t="s">
        <v>60</v>
      </c>
      <c r="Y16" s="13" t="s">
        <v>61</v>
      </c>
      <c r="Z16" s="13" t="s">
        <v>61</v>
      </c>
      <c r="AA16" s="13" t="s">
        <v>125</v>
      </c>
      <c r="AB16" s="13" t="s">
        <v>74</v>
      </c>
      <c r="AC16" s="13" t="s">
        <v>61</v>
      </c>
      <c r="AD16" s="13" t="s">
        <v>64</v>
      </c>
      <c r="AE16" s="13" t="s">
        <v>60</v>
      </c>
      <c r="AF16" s="13" t="s">
        <v>60</v>
      </c>
      <c r="AG16" s="13" t="s">
        <v>64</v>
      </c>
      <c r="AH16" s="13" t="s">
        <v>64</v>
      </c>
      <c r="AI16" s="13" t="s">
        <v>66</v>
      </c>
      <c r="AJ16" s="13" t="s">
        <v>64</v>
      </c>
      <c r="AK16" s="13" t="s">
        <v>63</v>
      </c>
      <c r="AL16" s="13" t="s">
        <v>64</v>
      </c>
      <c r="AM16" s="13" t="s">
        <v>63</v>
      </c>
      <c r="AN16" s="13" t="s">
        <v>62</v>
      </c>
      <c r="AO16" s="13" t="s">
        <v>60</v>
      </c>
      <c r="AP16" s="13" t="s">
        <v>63</v>
      </c>
      <c r="AQ16" s="13" t="s">
        <v>64</v>
      </c>
      <c r="AR16" s="13" t="s">
        <v>73</v>
      </c>
    </row>
    <row r="17">
      <c r="A17" s="10">
        <v>2.023900905E9</v>
      </c>
      <c r="B17" s="10" t="s">
        <v>193</v>
      </c>
      <c r="C17" s="10" t="s">
        <v>194</v>
      </c>
      <c r="D17" s="12">
        <f>IF(UPPER(E17)=UPPER(E5),E4,0)+IF(UPPER(F17)=UPPER(F5),F4,0)+IF(G17="",0,IF(LEN(SUBSTITUTE(SUBSTITUTE(UPPER(G17),"A",""),"D",""))&gt;0,0,IF(AND(ISNUMBER(FIND("A",UPPER(G17))),ISNUMBER(FIND("D",UPPER(G17)))),G4,G4/2)))+IF(UPPER(H17)=UPPER(H5),H4,0)+IF(UPPER(I17)=UPPER(I5),I4,0)+IF(UPPER(J17)=UPPER(J5),J4,0)+IF(K17="",0,IF(LEN(SUBSTITUTE(SUBSTITUTE(UPPER(K17),"B",""),"D",""))&gt;0,0,IF(AND(ISNUMBER(FIND("B",UPPER(K17))),ISNUMBER(FIND("D",UPPER(K17)))),K4,K4/2)))+IF(UPPER(L17)=UPPER(L5),L4,0)+IF(UPPER(M17)=UPPER(M5),M4,0)+IF(UPPER(N17)=UPPER(N5),N4,0)+IF(O17="",0,IF(LEN(SUBSTITUTE(SUBSTITUTE(UPPER(O17),"B",""),"C",""))&gt;0,0,IF(AND(ISNUMBER(FIND("B",UPPER(O17))),ISNUMBER(FIND("C",UPPER(O17)))),O4,O4/2)))+IF(UPPER(P17)=UPPER(P5),P4,0)+IF(UPPER(Q17)=UPPER(Q5),Q4,0)+IF(UPPER(R17)=UPPER(R5),R4,0)+IF(UPPER(S17)=UPPER(S5),S4,0)+IF(UPPER(T17)=UPPER(T5),T4,0)+IF(U17="",0,IF(LEN(SUBSTITUTE(SUBSTITUTE(UPPER(U17),"B",""),"D",""))&gt;0,0,IF(AND(ISNUMBER(FIND("B",UPPER(U17))),ISNUMBER(FIND("D",UPPER(U17)))),U4,U4/2)))+IF(V17="",0,IF(LEN(SUBSTITUTE(SUBSTITUTE(UPPER(V17),"A",""),"B",""))&gt;0,0,IF(AND(ISNUMBER(FIND("A",UPPER(V17))),ISNUMBER(FIND("B",UPPER(V17)))),V4,V4/2)))+IF(UPPER(W17)=UPPER(W5),W4,0)+IF(UPPER(X17)=UPPER(X5),X4,0)+IF(UPPER(Y17)=UPPER(Y5),Y4,0)+IF(UPPER(Z17)=UPPER(Z5),Z4,0)+IF(AA17="",0,IF(LEN(SUBSTITUTE(SUBSTITUTE(UPPER(AA17),"B",""),"D",""))&gt;0,0,IF(AND(ISNUMBER(FIND("B",UPPER(AA17))),ISNUMBER(FIND("D",UPPER(AA17)))),AA4,AA4/2)))+IF(AB17="",0,IF(LEN(SUBSTITUTE(SUBSTITUTE(UPPER(AB17),"B",""),"C",""))&gt;0,0,IF(AND(ISNUMBER(FIND("B",UPPER(AB17))),ISNUMBER(FIND("C",UPPER(AB17)))),AB4,AB4/2)))+IF(UPPER(AC17)=UPPER(AC5),AC4,0)+IF(UPPER(AD17)=UPPER(AD5),AD4,0)+IF(UPPER(AE17)=UPPER(AE5),AE4,0)+IF(UPPER(AF17)=UPPER(AF5),AF4,0)+IF(UPPER(AG17)=UPPER(AG5),AG4,0)+IF(UPPER(AH17)=UPPER(AH5),AH4,0)+IF(AI17="",0,IF(LEN(SUBSTITUTE(SUBSTITUTE(UPPER(AI17),"B",""),"D",""))&gt;0,0,IF(AND(ISNUMBER(FIND("B",UPPER(AI17))),ISNUMBER(FIND("D",UPPER(AI17)))),AI4,AI4/2)))+IF(UPPER(AJ17)=UPPER(AJ5),AJ4,0)+IF(UPPER(AK17)=UPPER(AK5),AK4,0)+IF(UPPER(AL17)=UPPER(AL5),AL4,0)+IF(UPPER(AM17)=UPPER(AM5),AM4,0)+IF(AN17="",0,IF(LEN(SUBSTITUTE(SUBSTITUTE(UPPER(AN17),"B",""),"C",""))&gt;0,0,IF(AND(ISNUMBER(FIND("B",UPPER(AN17))),ISNUMBER(FIND("C",UPPER(AN17)))),AN4,AN4/2)))+IF(UPPER(AO17)=UPPER(AO5),AO4,0)+IF(UPPER(AP17)=UPPER(AP5),AP4,0)+IF(UPPER(AQ17)=UPPER(AQ5),AQ4,0)+IF(AR17="",0,IF(LEN(SUBSTITUTE(SUBSTITUTE(UPPER(AR17),"B",""),"C",""))&gt;0,0,IF(AND(ISNUMBER(FIND("B",UPPER(AR17))),ISNUMBER(FIND("C",UPPER(AR17)))),AR4,AR4/2)))</f>
        <v>95</v>
      </c>
      <c r="E17" s="13" t="s">
        <v>63</v>
      </c>
      <c r="F17" s="13" t="s">
        <v>60</v>
      </c>
      <c r="G17" s="13" t="s">
        <v>67</v>
      </c>
      <c r="H17" s="13" t="s">
        <v>60</v>
      </c>
      <c r="I17" s="13" t="s">
        <v>61</v>
      </c>
      <c r="J17" s="13" t="s">
        <v>61</v>
      </c>
      <c r="K17" s="13" t="s">
        <v>74</v>
      </c>
      <c r="L17" s="13" t="s">
        <v>63</v>
      </c>
      <c r="M17" s="13" t="s">
        <v>63</v>
      </c>
      <c r="N17" s="13" t="s">
        <v>64</v>
      </c>
      <c r="O17" s="13" t="s">
        <v>73</v>
      </c>
      <c r="P17" s="13" t="s">
        <v>61</v>
      </c>
      <c r="Q17" s="13" t="s">
        <v>60</v>
      </c>
      <c r="R17" s="13" t="s">
        <v>61</v>
      </c>
      <c r="S17" s="13" t="s">
        <v>64</v>
      </c>
      <c r="T17" s="13" t="s">
        <v>63</v>
      </c>
      <c r="U17" s="13" t="s">
        <v>74</v>
      </c>
      <c r="V17" s="13" t="s">
        <v>66</v>
      </c>
      <c r="W17" s="13" t="s">
        <v>63</v>
      </c>
      <c r="X17" s="13" t="s">
        <v>60</v>
      </c>
      <c r="Y17" s="13" t="s">
        <v>61</v>
      </c>
      <c r="Z17" s="13" t="s">
        <v>63</v>
      </c>
      <c r="AA17" s="13" t="s">
        <v>74</v>
      </c>
      <c r="AB17" s="13" t="s">
        <v>73</v>
      </c>
      <c r="AC17" s="13" t="s">
        <v>64</v>
      </c>
      <c r="AD17" s="13" t="s">
        <v>64</v>
      </c>
      <c r="AE17" s="13" t="s">
        <v>60</v>
      </c>
      <c r="AF17" s="13" t="s">
        <v>60</v>
      </c>
      <c r="AG17" s="13" t="s">
        <v>64</v>
      </c>
      <c r="AH17" s="13" t="s">
        <v>64</v>
      </c>
      <c r="AI17" s="13" t="s">
        <v>74</v>
      </c>
      <c r="AJ17" s="13" t="s">
        <v>64</v>
      </c>
      <c r="AK17" s="13" t="s">
        <v>63</v>
      </c>
      <c r="AL17" s="13" t="s">
        <v>64</v>
      </c>
      <c r="AM17" s="13" t="s">
        <v>63</v>
      </c>
      <c r="AN17" s="13" t="s">
        <v>73</v>
      </c>
      <c r="AO17" s="13" t="s">
        <v>60</v>
      </c>
      <c r="AP17" s="13" t="s">
        <v>63</v>
      </c>
      <c r="AQ17" s="13" t="s">
        <v>63</v>
      </c>
      <c r="AR17" s="13" t="s">
        <v>73</v>
      </c>
    </row>
    <row r="18">
      <c r="A18" s="10">
        <v>2.023902045E9</v>
      </c>
      <c r="B18" s="10" t="s">
        <v>195</v>
      </c>
      <c r="C18" s="10" t="s">
        <v>196</v>
      </c>
      <c r="D18" s="12">
        <f>IF(UPPER(E18)=UPPER(E5),E4,0)+IF(UPPER(F18)=UPPER(F5),F4,0)+IF(G18="",0,IF(LEN(SUBSTITUTE(SUBSTITUTE(UPPER(G18),"A",""),"D",""))&gt;0,0,IF(AND(ISNUMBER(FIND("A",UPPER(G18))),ISNUMBER(FIND("D",UPPER(G18)))),G4,G4/2)))+IF(UPPER(H18)=UPPER(H5),H4,0)+IF(UPPER(I18)=UPPER(I5),I4,0)+IF(UPPER(J18)=UPPER(J5),J4,0)+IF(K18="",0,IF(LEN(SUBSTITUTE(SUBSTITUTE(UPPER(K18),"B",""),"D",""))&gt;0,0,IF(AND(ISNUMBER(FIND("B",UPPER(K18))),ISNUMBER(FIND("D",UPPER(K18)))),K4,K4/2)))+IF(UPPER(L18)=UPPER(L5),L4,0)+IF(UPPER(M18)=UPPER(M5),M4,0)+IF(UPPER(N18)=UPPER(N5),N4,0)+IF(O18="",0,IF(LEN(SUBSTITUTE(SUBSTITUTE(UPPER(O18),"B",""),"C",""))&gt;0,0,IF(AND(ISNUMBER(FIND("B",UPPER(O18))),ISNUMBER(FIND("C",UPPER(O18)))),O4,O4/2)))+IF(UPPER(P18)=UPPER(P5),P4,0)+IF(UPPER(Q18)=UPPER(Q5),Q4,0)+IF(UPPER(R18)=UPPER(R5),R4,0)+IF(UPPER(S18)=UPPER(S5),S4,0)+IF(UPPER(T18)=UPPER(T5),T4,0)+IF(U18="",0,IF(LEN(SUBSTITUTE(SUBSTITUTE(UPPER(U18),"B",""),"D",""))&gt;0,0,IF(AND(ISNUMBER(FIND("B",UPPER(U18))),ISNUMBER(FIND("D",UPPER(U18)))),U4,U4/2)))+IF(V18="",0,IF(LEN(SUBSTITUTE(SUBSTITUTE(UPPER(V18),"A",""),"B",""))&gt;0,0,IF(AND(ISNUMBER(FIND("A",UPPER(V18))),ISNUMBER(FIND("B",UPPER(V18)))),V4,V4/2)))+IF(UPPER(W18)=UPPER(W5),W4,0)+IF(UPPER(X18)=UPPER(X5),X4,0)+IF(UPPER(Y18)=UPPER(Y5),Y4,0)+IF(UPPER(Z18)=UPPER(Z5),Z4,0)+IF(AA18="",0,IF(LEN(SUBSTITUTE(SUBSTITUTE(UPPER(AA18),"B",""),"D",""))&gt;0,0,IF(AND(ISNUMBER(FIND("B",UPPER(AA18))),ISNUMBER(FIND("D",UPPER(AA18)))),AA4,AA4/2)))+IF(AB18="",0,IF(LEN(SUBSTITUTE(SUBSTITUTE(UPPER(AB18),"B",""),"C",""))&gt;0,0,IF(AND(ISNUMBER(FIND("B",UPPER(AB18))),ISNUMBER(FIND("C",UPPER(AB18)))),AB4,AB4/2)))+IF(UPPER(AC18)=UPPER(AC5),AC4,0)+IF(UPPER(AD18)=UPPER(AD5),AD4,0)+IF(UPPER(AE18)=UPPER(AE5),AE4,0)+IF(UPPER(AF18)=UPPER(AF5),AF4,0)+IF(UPPER(AG18)=UPPER(AG5),AG4,0)+IF(UPPER(AH18)=UPPER(AH5),AH4,0)+IF(AI18="",0,IF(LEN(SUBSTITUTE(SUBSTITUTE(UPPER(AI18),"B",""),"D",""))&gt;0,0,IF(AND(ISNUMBER(FIND("B",UPPER(AI18))),ISNUMBER(FIND("D",UPPER(AI18)))),AI4,AI4/2)))+IF(UPPER(AJ18)=UPPER(AJ5),AJ4,0)+IF(UPPER(AK18)=UPPER(AK5),AK4,0)+IF(UPPER(AL18)=UPPER(AL5),AL4,0)+IF(UPPER(AM18)=UPPER(AM5),AM4,0)+IF(AN18="",0,IF(LEN(SUBSTITUTE(SUBSTITUTE(UPPER(AN18),"B",""),"C",""))&gt;0,0,IF(AND(ISNUMBER(FIND("B",UPPER(AN18))),ISNUMBER(FIND("C",UPPER(AN18)))),AN4,AN4/2)))+IF(UPPER(AO18)=UPPER(AO5),AO4,0)+IF(UPPER(AP18)=UPPER(AP5),AP4,0)+IF(UPPER(AQ18)=UPPER(AQ5),AQ4,0)+IF(AR18="",0,IF(LEN(SUBSTITUTE(SUBSTITUTE(UPPER(AR18),"B",""),"C",""))&gt;0,0,IF(AND(ISNUMBER(FIND("B",UPPER(AR18))),ISNUMBER(FIND("C",UPPER(AR18)))),AR4,AR4/2)))</f>
        <v>70</v>
      </c>
      <c r="E18" s="13" t="s">
        <v>64</v>
      </c>
      <c r="F18" s="13" t="s">
        <v>63</v>
      </c>
      <c r="G18" s="13" t="s">
        <v>67</v>
      </c>
      <c r="H18" s="13" t="s">
        <v>60</v>
      </c>
      <c r="I18" s="13" t="s">
        <v>60</v>
      </c>
      <c r="J18" s="13" t="s">
        <v>61</v>
      </c>
      <c r="K18" s="13" t="s">
        <v>64</v>
      </c>
      <c r="L18" s="13" t="s">
        <v>63</v>
      </c>
      <c r="M18" s="13" t="s">
        <v>63</v>
      </c>
      <c r="N18" s="13" t="s">
        <v>64</v>
      </c>
      <c r="O18" s="13" t="s">
        <v>73</v>
      </c>
      <c r="P18" s="13" t="s">
        <v>61</v>
      </c>
      <c r="Q18" s="13" t="s">
        <v>60</v>
      </c>
      <c r="R18" s="13" t="s">
        <v>61</v>
      </c>
      <c r="S18" s="13" t="s">
        <v>64</v>
      </c>
      <c r="T18" s="13" t="s">
        <v>63</v>
      </c>
      <c r="U18" s="13" t="s">
        <v>64</v>
      </c>
      <c r="V18" s="13" t="s">
        <v>60</v>
      </c>
      <c r="W18" s="13" t="s">
        <v>60</v>
      </c>
      <c r="X18" s="13" t="s">
        <v>63</v>
      </c>
      <c r="Y18" s="13" t="s">
        <v>61</v>
      </c>
      <c r="Z18" s="13" t="s">
        <v>63</v>
      </c>
      <c r="AA18" s="13" t="s">
        <v>64</v>
      </c>
      <c r="AB18" s="13" t="s">
        <v>63</v>
      </c>
      <c r="AC18" s="13" t="s">
        <v>61</v>
      </c>
      <c r="AD18" s="13" t="s">
        <v>64</v>
      </c>
      <c r="AE18" s="13" t="s">
        <v>60</v>
      </c>
      <c r="AF18" s="13" t="s">
        <v>60</v>
      </c>
      <c r="AG18" s="13" t="s">
        <v>63</v>
      </c>
      <c r="AH18" s="13" t="s">
        <v>64</v>
      </c>
      <c r="AI18" s="13" t="s">
        <v>74</v>
      </c>
      <c r="AJ18" s="13" t="s">
        <v>64</v>
      </c>
      <c r="AK18" s="13" t="s">
        <v>63</v>
      </c>
      <c r="AL18" s="13" t="s">
        <v>64</v>
      </c>
      <c r="AM18" s="13" t="s">
        <v>63</v>
      </c>
      <c r="AN18" s="13" t="s">
        <v>63</v>
      </c>
      <c r="AO18" s="13" t="s">
        <v>60</v>
      </c>
      <c r="AP18" s="13" t="s">
        <v>61</v>
      </c>
      <c r="AQ18" s="13" t="s">
        <v>60</v>
      </c>
      <c r="AR18" s="13" t="s">
        <v>73</v>
      </c>
    </row>
    <row r="19">
      <c r="D19" s="12">
        <f>IF(UPPER(E19)=UPPER(E5),E4,0)+IF(UPPER(F19)=UPPER(F5),F4,0)+IF(G19="",0,IF(LEN(SUBSTITUTE(SUBSTITUTE(UPPER(G19),"A",""),"D",""))&gt;0,0,IF(AND(ISNUMBER(FIND("A",UPPER(G19))),ISNUMBER(FIND("D",UPPER(G19)))),G4,G4/2)))+IF(UPPER(H19)=UPPER(H5),H4,0)+IF(UPPER(I19)=UPPER(I5),I4,0)+IF(UPPER(J19)=UPPER(J5),J4,0)+IF(K19="",0,IF(LEN(SUBSTITUTE(SUBSTITUTE(UPPER(K19),"B",""),"D",""))&gt;0,0,IF(AND(ISNUMBER(FIND("B",UPPER(K19))),ISNUMBER(FIND("D",UPPER(K19)))),K4,K4/2)))+IF(UPPER(L19)=UPPER(L5),L4,0)+IF(UPPER(M19)=UPPER(M5),M4,0)+IF(UPPER(N19)=UPPER(N5),N4,0)+IF(O19="",0,IF(LEN(SUBSTITUTE(SUBSTITUTE(UPPER(O19),"B",""),"C",""))&gt;0,0,IF(AND(ISNUMBER(FIND("B",UPPER(O19))),ISNUMBER(FIND("C",UPPER(O19)))),O4,O4/2)))+IF(UPPER(P19)=UPPER(P5),P4,0)+IF(UPPER(Q19)=UPPER(Q5),Q4,0)+IF(UPPER(R19)=UPPER(R5),R4,0)+IF(UPPER(S19)=UPPER(S5),S4,0)+IF(UPPER(T19)=UPPER(T5),T4,0)+IF(U19="",0,IF(LEN(SUBSTITUTE(SUBSTITUTE(UPPER(U19),"B",""),"D",""))&gt;0,0,IF(AND(ISNUMBER(FIND("B",UPPER(U19))),ISNUMBER(FIND("D",UPPER(U19)))),U4,U4/2)))+IF(V19="",0,IF(LEN(SUBSTITUTE(SUBSTITUTE(UPPER(V19),"A",""),"B",""))&gt;0,0,IF(AND(ISNUMBER(FIND("A",UPPER(V19))),ISNUMBER(FIND("B",UPPER(V19)))),V4,V4/2)))+IF(UPPER(W19)=UPPER(W5),W4,0)+IF(UPPER(X19)=UPPER(X5),X4,0)+IF(UPPER(Y19)=UPPER(Y5),Y4,0)+IF(UPPER(Z19)=UPPER(Z5),Z4,0)+IF(AA19="",0,IF(LEN(SUBSTITUTE(SUBSTITUTE(UPPER(AA19),"B",""),"D",""))&gt;0,0,IF(AND(ISNUMBER(FIND("B",UPPER(AA19))),ISNUMBER(FIND("D",UPPER(AA19)))),AA4,AA4/2)))+IF(AB19="",0,IF(LEN(SUBSTITUTE(SUBSTITUTE(UPPER(AB19),"B",""),"C",""))&gt;0,0,IF(AND(ISNUMBER(FIND("B",UPPER(AB19))),ISNUMBER(FIND("C",UPPER(AB19)))),AB4,AB4/2)))+IF(UPPER(AC19)=UPPER(AC5),AC4,0)+IF(UPPER(AD19)=UPPER(AD5),AD4,0)+IF(UPPER(AE19)=UPPER(AE5),AE4,0)+IF(UPPER(AF19)=UPPER(AF5),AF4,0)+IF(UPPER(AG19)=UPPER(AG5),AG4,0)+IF(UPPER(AH19)=UPPER(AH5),AH4,0)+IF(AI19="",0,IF(LEN(SUBSTITUTE(SUBSTITUTE(UPPER(AI19),"B",""),"D",""))&gt;0,0,IF(AND(ISNUMBER(FIND("B",UPPER(AI19))),ISNUMBER(FIND("D",UPPER(AI19)))),AI4,AI4/2)))+IF(UPPER(AJ19)=UPPER(AJ5),AJ4,0)+IF(UPPER(AK19)=UPPER(AK5),AK4,0)+IF(UPPER(AL19)=UPPER(AL5),AL4,0)+IF(UPPER(AM19)=UPPER(AM5),AM4,0)+IF(AN19="",0,IF(LEN(SUBSTITUTE(SUBSTITUTE(UPPER(AN19),"B",""),"C",""))&gt;0,0,IF(AND(ISNUMBER(FIND("B",UPPER(AN19))),ISNUMBER(FIND("C",UPPER(AN19)))),AN4,AN4/2)))+IF(UPPER(AO19)=UPPER(AO5),AO4,0)+IF(UPPER(AP19)=UPPER(AP5),AP4,0)+IF(UPPER(AQ19)=UPPER(AQ5),AQ4,0)+IF(AR19="",0,IF(LEN(SUBSTITUTE(SUBSTITUTE(UPPER(AR19),"B",""),"C",""))&gt;0,0,IF(AND(ISNUMBER(FIND("B",UPPER(AR19))),ISNUMBER(FIND("C",UPPER(AR19)))),AR4,AR4/2)))</f>
        <v>0</v>
      </c>
      <c r="E19" s="13"/>
      <c r="F19" s="13"/>
      <c r="G19" s="13"/>
      <c r="H19" s="13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</row>
    <row r="20">
      <c r="A20" s="10">
        <v>2.023902047E9</v>
      </c>
      <c r="B20" s="10" t="s">
        <v>197</v>
      </c>
      <c r="C20" s="10" t="s">
        <v>198</v>
      </c>
      <c r="D20" s="12">
        <f>IF(UPPER(E20)=UPPER(E5),E4,0)+IF(UPPER(F20)=UPPER(F5),F4,0)+IF(G20="",0,IF(LEN(SUBSTITUTE(SUBSTITUTE(UPPER(G20),"A",""),"D",""))&gt;0,0,IF(AND(ISNUMBER(FIND("A",UPPER(G20))),ISNUMBER(FIND("D",UPPER(G20)))),G4,G4/2)))+IF(UPPER(H20)=UPPER(H5),H4,0)+IF(UPPER(I20)=UPPER(I5),I4,0)+IF(UPPER(J20)=UPPER(J5),J4,0)+IF(K20="",0,IF(LEN(SUBSTITUTE(SUBSTITUTE(UPPER(K20),"B",""),"D",""))&gt;0,0,IF(AND(ISNUMBER(FIND("B",UPPER(K20))),ISNUMBER(FIND("D",UPPER(K20)))),K4,K4/2)))+IF(UPPER(L20)=UPPER(L5),L4,0)+IF(UPPER(M20)=UPPER(M5),M4,0)+IF(UPPER(N20)=UPPER(N5),N4,0)+IF(O20="",0,IF(LEN(SUBSTITUTE(SUBSTITUTE(UPPER(O20),"B",""),"C",""))&gt;0,0,IF(AND(ISNUMBER(FIND("B",UPPER(O20))),ISNUMBER(FIND("C",UPPER(O20)))),O4,O4/2)))+IF(UPPER(P20)=UPPER(P5),P4,0)+IF(UPPER(Q20)=UPPER(Q5),Q4,0)+IF(UPPER(R20)=UPPER(R5),R4,0)+IF(UPPER(S20)=UPPER(S5),S4,0)+IF(UPPER(T20)=UPPER(T5),T4,0)+IF(U20="",0,IF(LEN(SUBSTITUTE(SUBSTITUTE(UPPER(U20),"B",""),"D",""))&gt;0,0,IF(AND(ISNUMBER(FIND("B",UPPER(U20))),ISNUMBER(FIND("D",UPPER(U20)))),U4,U4/2)))+IF(V20="",0,IF(LEN(SUBSTITUTE(SUBSTITUTE(UPPER(V20),"A",""),"B",""))&gt;0,0,IF(AND(ISNUMBER(FIND("A",UPPER(V20))),ISNUMBER(FIND("B",UPPER(V20)))),V4,V4/2)))+IF(UPPER(W20)=UPPER(W5),W4,0)+IF(UPPER(X20)=UPPER(X5),X4,0)+IF(UPPER(Y20)=UPPER(Y5),Y4,0)+IF(UPPER(Z20)=UPPER(Z5),Z4,0)+IF(AA20="",0,IF(LEN(SUBSTITUTE(SUBSTITUTE(UPPER(AA20),"B",""),"D",""))&gt;0,0,IF(AND(ISNUMBER(FIND("B",UPPER(AA20))),ISNUMBER(FIND("D",UPPER(AA20)))),AA4,AA4/2)))+IF(AB20="",0,IF(LEN(SUBSTITUTE(SUBSTITUTE(UPPER(AB20),"B",""),"C",""))&gt;0,0,IF(AND(ISNUMBER(FIND("B",UPPER(AB20))),ISNUMBER(FIND("C",UPPER(AB20)))),AB4,AB4/2)))+IF(UPPER(AC20)=UPPER(AC5),AC4,0)+IF(UPPER(AD20)=UPPER(AD5),AD4,0)+IF(UPPER(AE20)=UPPER(AE5),AE4,0)+IF(UPPER(AF20)=UPPER(AF5),AF4,0)+IF(UPPER(AG20)=UPPER(AG5),AG4,0)+IF(UPPER(AH20)=UPPER(AH5),AH4,0)+IF(AI20="",0,IF(LEN(SUBSTITUTE(SUBSTITUTE(UPPER(AI20),"B",""),"D",""))&gt;0,0,IF(AND(ISNUMBER(FIND("B",UPPER(AI20))),ISNUMBER(FIND("D",UPPER(AI20)))),AI4,AI4/2)))+IF(UPPER(AJ20)=UPPER(AJ5),AJ4,0)+IF(UPPER(AK20)=UPPER(AK5),AK4,0)+IF(UPPER(AL20)=UPPER(AL5),AL4,0)+IF(UPPER(AM20)=UPPER(AM5),AM4,0)+IF(AN20="",0,IF(LEN(SUBSTITUTE(SUBSTITUTE(UPPER(AN20),"B",""),"C",""))&gt;0,0,IF(AND(ISNUMBER(FIND("B",UPPER(AN20))),ISNUMBER(FIND("C",UPPER(AN20)))),AN4,AN4/2)))+IF(UPPER(AO20)=UPPER(AO5),AO4,0)+IF(UPPER(AP20)=UPPER(AP5),AP4,0)+IF(UPPER(AQ20)=UPPER(AQ5),AQ4,0)+IF(AR20="",0,IF(LEN(SUBSTITUTE(SUBSTITUTE(UPPER(AR20),"B",""),"C",""))&gt;0,0,IF(AND(ISNUMBER(FIND("B",UPPER(AR20))),ISNUMBER(FIND("C",UPPER(AR20)))),AR4,AR4/2)))</f>
        <v>100</v>
      </c>
      <c r="E20" s="13" t="s">
        <v>63</v>
      </c>
      <c r="F20" s="13" t="s">
        <v>60</v>
      </c>
      <c r="G20" s="13" t="s">
        <v>67</v>
      </c>
      <c r="H20" s="13" t="s">
        <v>60</v>
      </c>
      <c r="I20" s="13" t="s">
        <v>61</v>
      </c>
      <c r="J20" s="13" t="s">
        <v>61</v>
      </c>
      <c r="K20" s="13" t="s">
        <v>74</v>
      </c>
      <c r="L20" s="13" t="s">
        <v>63</v>
      </c>
      <c r="M20" s="13" t="s">
        <v>63</v>
      </c>
      <c r="N20" s="13" t="s">
        <v>64</v>
      </c>
      <c r="O20" s="13" t="s">
        <v>73</v>
      </c>
      <c r="P20" s="13" t="s">
        <v>61</v>
      </c>
      <c r="Q20" s="13" t="s">
        <v>60</v>
      </c>
      <c r="R20" s="13" t="s">
        <v>61</v>
      </c>
      <c r="S20" s="13" t="s">
        <v>64</v>
      </c>
      <c r="T20" s="13" t="s">
        <v>63</v>
      </c>
      <c r="U20" s="13" t="s">
        <v>74</v>
      </c>
      <c r="V20" s="13" t="s">
        <v>66</v>
      </c>
      <c r="W20" s="13" t="s">
        <v>63</v>
      </c>
      <c r="X20" s="13" t="s">
        <v>60</v>
      </c>
      <c r="Y20" s="13" t="s">
        <v>61</v>
      </c>
      <c r="Z20" s="13" t="s">
        <v>61</v>
      </c>
      <c r="AA20" s="13" t="s">
        <v>74</v>
      </c>
      <c r="AB20" s="13" t="s">
        <v>73</v>
      </c>
      <c r="AC20" s="13" t="s">
        <v>61</v>
      </c>
      <c r="AD20" s="13" t="s">
        <v>64</v>
      </c>
      <c r="AE20" s="13" t="s">
        <v>60</v>
      </c>
      <c r="AF20" s="13" t="s">
        <v>60</v>
      </c>
      <c r="AG20" s="13" t="s">
        <v>64</v>
      </c>
      <c r="AH20" s="13" t="s">
        <v>64</v>
      </c>
      <c r="AI20" s="13" t="s">
        <v>74</v>
      </c>
      <c r="AJ20" s="13" t="s">
        <v>64</v>
      </c>
      <c r="AK20" s="13" t="s">
        <v>63</v>
      </c>
      <c r="AL20" s="13" t="s">
        <v>64</v>
      </c>
      <c r="AM20" s="13" t="s">
        <v>63</v>
      </c>
      <c r="AN20" s="13" t="s">
        <v>73</v>
      </c>
      <c r="AO20" s="13" t="s">
        <v>60</v>
      </c>
      <c r="AP20" s="13" t="s">
        <v>63</v>
      </c>
      <c r="AQ20" s="13" t="s">
        <v>63</v>
      </c>
      <c r="AR20" s="13" t="s">
        <v>73</v>
      </c>
    </row>
    <row r="21">
      <c r="A21" s="10">
        <v>2.023900907E9</v>
      </c>
      <c r="B21" s="10" t="s">
        <v>199</v>
      </c>
      <c r="C21" s="10" t="s">
        <v>200</v>
      </c>
      <c r="D21" s="12">
        <f>IF(UPPER(E21)=UPPER(E5),E4,0)+IF(UPPER(F21)=UPPER(F5),F4,0)+IF(G21="",0,IF(LEN(SUBSTITUTE(SUBSTITUTE(UPPER(G21),"A",""),"D",""))&gt;0,0,IF(AND(ISNUMBER(FIND("A",UPPER(G21))),ISNUMBER(FIND("D",UPPER(G21)))),G4,G4/2)))+IF(UPPER(H21)=UPPER(H5),H4,0)+IF(UPPER(I21)=UPPER(I5),I4,0)+IF(UPPER(J21)=UPPER(J5),J4,0)+IF(K21="",0,IF(LEN(SUBSTITUTE(SUBSTITUTE(UPPER(K21),"B",""),"D",""))&gt;0,0,IF(AND(ISNUMBER(FIND("B",UPPER(K21))),ISNUMBER(FIND("D",UPPER(K21)))),K4,K4/2)))+IF(UPPER(L21)=UPPER(L5),L4,0)+IF(UPPER(M21)=UPPER(M5),M4,0)+IF(UPPER(N21)=UPPER(N5),N4,0)+IF(O21="",0,IF(LEN(SUBSTITUTE(SUBSTITUTE(UPPER(O21),"B",""),"C",""))&gt;0,0,IF(AND(ISNUMBER(FIND("B",UPPER(O21))),ISNUMBER(FIND("C",UPPER(O21)))),O4,O4/2)))+IF(UPPER(P21)=UPPER(P5),P4,0)+IF(UPPER(Q21)=UPPER(Q5),Q4,0)+IF(UPPER(R21)=UPPER(R5),R4,0)+IF(UPPER(S21)=UPPER(S5),S4,0)+IF(UPPER(T21)=UPPER(T5),T4,0)+IF(U21="",0,IF(LEN(SUBSTITUTE(SUBSTITUTE(UPPER(U21),"B",""),"D",""))&gt;0,0,IF(AND(ISNUMBER(FIND("B",UPPER(U21))),ISNUMBER(FIND("D",UPPER(U21)))),U4,U4/2)))+IF(V21="",0,IF(LEN(SUBSTITUTE(SUBSTITUTE(UPPER(V21),"A",""),"B",""))&gt;0,0,IF(AND(ISNUMBER(FIND("A",UPPER(V21))),ISNUMBER(FIND("B",UPPER(V21)))),V4,V4/2)))+IF(UPPER(W21)=UPPER(W5),W4,0)+IF(UPPER(X21)=UPPER(X5),X4,0)+IF(UPPER(Y21)=UPPER(Y5),Y4,0)+IF(UPPER(Z21)=UPPER(Z5),Z4,0)+IF(AA21="",0,IF(LEN(SUBSTITUTE(SUBSTITUTE(UPPER(AA21),"B",""),"D",""))&gt;0,0,IF(AND(ISNUMBER(FIND("B",UPPER(AA21))),ISNUMBER(FIND("D",UPPER(AA21)))),AA4,AA4/2)))+IF(AB21="",0,IF(LEN(SUBSTITUTE(SUBSTITUTE(UPPER(AB21),"B",""),"C",""))&gt;0,0,IF(AND(ISNUMBER(FIND("B",UPPER(AB21))),ISNUMBER(FIND("C",UPPER(AB21)))),AB4,AB4/2)))+IF(UPPER(AC21)=UPPER(AC5),AC4,0)+IF(UPPER(AD21)=UPPER(AD5),AD4,0)+IF(UPPER(AE21)=UPPER(AE5),AE4,0)+IF(UPPER(AF21)=UPPER(AF5),AF4,0)+IF(UPPER(AG21)=UPPER(AG5),AG4,0)+IF(UPPER(AH21)=UPPER(AH5),AH4,0)+IF(AI21="",0,IF(LEN(SUBSTITUTE(SUBSTITUTE(UPPER(AI21),"B",""),"D",""))&gt;0,0,IF(AND(ISNUMBER(FIND("B",UPPER(AI21))),ISNUMBER(FIND("D",UPPER(AI21)))),AI4,AI4/2)))+IF(UPPER(AJ21)=UPPER(AJ5),AJ4,0)+IF(UPPER(AK21)=UPPER(AK5),AK4,0)+IF(UPPER(AL21)=UPPER(AL5),AL4,0)+IF(UPPER(AM21)=UPPER(AM5),AM4,0)+IF(AN21="",0,IF(LEN(SUBSTITUTE(SUBSTITUTE(UPPER(AN21),"B",""),"C",""))&gt;0,0,IF(AND(ISNUMBER(FIND("B",UPPER(AN21))),ISNUMBER(FIND("C",UPPER(AN21)))),AN4,AN4/2)))+IF(UPPER(AO21)=UPPER(AO5),AO4,0)+IF(UPPER(AP21)=UPPER(AP5),AP4,0)+IF(UPPER(AQ21)=UPPER(AQ5),AQ4,0)+IF(AR21="",0,IF(LEN(SUBSTITUTE(SUBSTITUTE(UPPER(AR21),"B",""),"C",""))&gt;0,0,IF(AND(ISNUMBER(FIND("B",UPPER(AR21))),ISNUMBER(FIND("C",UPPER(AR21)))),AR4,AR4/2)))</f>
        <v>87.5</v>
      </c>
      <c r="E21" s="13" t="s">
        <v>63</v>
      </c>
      <c r="F21" s="13" t="s">
        <v>60</v>
      </c>
      <c r="G21" s="13" t="s">
        <v>67</v>
      </c>
      <c r="H21" s="13" t="s">
        <v>60</v>
      </c>
      <c r="I21" s="13" t="s">
        <v>60</v>
      </c>
      <c r="J21" s="13" t="s">
        <v>61</v>
      </c>
      <c r="K21" s="13" t="s">
        <v>74</v>
      </c>
      <c r="L21" s="13" t="s">
        <v>63</v>
      </c>
      <c r="M21" s="13" t="s">
        <v>63</v>
      </c>
      <c r="N21" s="13" t="s">
        <v>64</v>
      </c>
      <c r="O21" s="13" t="s">
        <v>73</v>
      </c>
      <c r="P21" s="13" t="s">
        <v>61</v>
      </c>
      <c r="Q21" s="13" t="s">
        <v>60</v>
      </c>
      <c r="R21" s="13" t="s">
        <v>61</v>
      </c>
      <c r="S21" s="13" t="s">
        <v>64</v>
      </c>
      <c r="T21" s="13" t="s">
        <v>63</v>
      </c>
      <c r="U21" s="13" t="s">
        <v>74</v>
      </c>
      <c r="V21" s="13" t="s">
        <v>66</v>
      </c>
      <c r="W21" s="13" t="s">
        <v>63</v>
      </c>
      <c r="X21" s="13" t="s">
        <v>60</v>
      </c>
      <c r="Y21" s="13" t="s">
        <v>60</v>
      </c>
      <c r="Z21" s="13" t="s">
        <v>61</v>
      </c>
      <c r="AA21" s="13" t="s">
        <v>74</v>
      </c>
      <c r="AB21" s="13" t="s">
        <v>74</v>
      </c>
      <c r="AC21" s="13" t="s">
        <v>61</v>
      </c>
      <c r="AD21" s="13" t="s">
        <v>64</v>
      </c>
      <c r="AE21" s="13" t="s">
        <v>60</v>
      </c>
      <c r="AF21" s="13" t="s">
        <v>60</v>
      </c>
      <c r="AG21" s="13" t="s">
        <v>64</v>
      </c>
      <c r="AH21" s="13" t="s">
        <v>64</v>
      </c>
      <c r="AI21" s="13" t="s">
        <v>66</v>
      </c>
      <c r="AJ21" s="13" t="s">
        <v>64</v>
      </c>
      <c r="AK21" s="13" t="s">
        <v>63</v>
      </c>
      <c r="AL21" s="13" t="s">
        <v>64</v>
      </c>
      <c r="AM21" s="13" t="s">
        <v>63</v>
      </c>
      <c r="AN21" s="13" t="s">
        <v>73</v>
      </c>
      <c r="AO21" s="13" t="s">
        <v>60</v>
      </c>
      <c r="AP21" s="13" t="s">
        <v>63</v>
      </c>
      <c r="AQ21" s="13" t="s">
        <v>64</v>
      </c>
      <c r="AR21" s="13" t="s">
        <v>73</v>
      </c>
    </row>
    <row r="22" ht="15.75" customHeight="1">
      <c r="A22" s="10">
        <v>2.023905417E9</v>
      </c>
      <c r="B22" s="10" t="s">
        <v>201</v>
      </c>
      <c r="C22" s="10" t="s">
        <v>202</v>
      </c>
      <c r="D22" s="12">
        <f>IF(UPPER(E22)=UPPER(E5),E4,0)+IF(UPPER(F22)=UPPER(F5),F4,0)+IF(G22="",0,IF(LEN(SUBSTITUTE(SUBSTITUTE(UPPER(G22),"A",""),"D",""))&gt;0,0,IF(AND(ISNUMBER(FIND("A",UPPER(G22))),ISNUMBER(FIND("D",UPPER(G22)))),G4,G4/2)))+IF(UPPER(H22)=UPPER(H5),H4,0)+IF(UPPER(I22)=UPPER(I5),I4,0)+IF(UPPER(J22)=UPPER(J5),J4,0)+IF(K22="",0,IF(LEN(SUBSTITUTE(SUBSTITUTE(UPPER(K22),"B",""),"D",""))&gt;0,0,IF(AND(ISNUMBER(FIND("B",UPPER(K22))),ISNUMBER(FIND("D",UPPER(K22)))),K4,K4/2)))+IF(UPPER(L22)=UPPER(L5),L4,0)+IF(UPPER(M22)=UPPER(M5),M4,0)+IF(UPPER(N22)=UPPER(N5),N4,0)+IF(O22="",0,IF(LEN(SUBSTITUTE(SUBSTITUTE(UPPER(O22),"B",""),"C",""))&gt;0,0,IF(AND(ISNUMBER(FIND("B",UPPER(O22))),ISNUMBER(FIND("C",UPPER(O22)))),O4,O4/2)))+IF(UPPER(P22)=UPPER(P5),P4,0)+IF(UPPER(Q22)=UPPER(Q5),Q4,0)+IF(UPPER(R22)=UPPER(R5),R4,0)+IF(UPPER(S22)=UPPER(S5),S4,0)+IF(UPPER(T22)=UPPER(T5),T4,0)+IF(U22="",0,IF(LEN(SUBSTITUTE(SUBSTITUTE(UPPER(U22),"B",""),"D",""))&gt;0,0,IF(AND(ISNUMBER(FIND("B",UPPER(U22))),ISNUMBER(FIND("D",UPPER(U22)))),U4,U4/2)))+IF(V22="",0,IF(LEN(SUBSTITUTE(SUBSTITUTE(UPPER(V22),"A",""),"B",""))&gt;0,0,IF(AND(ISNUMBER(FIND("A",UPPER(V22))),ISNUMBER(FIND("B",UPPER(V22)))),V4,V4/2)))+IF(UPPER(W22)=UPPER(W5),W4,0)+IF(UPPER(X22)=UPPER(X5),X4,0)+IF(UPPER(Y22)=UPPER(Y5),Y4,0)+IF(UPPER(Z22)=UPPER(Z5),Z4,0)+IF(AA22="",0,IF(LEN(SUBSTITUTE(SUBSTITUTE(UPPER(AA22),"B",""),"D",""))&gt;0,0,IF(AND(ISNUMBER(FIND("B",UPPER(AA22))),ISNUMBER(FIND("D",UPPER(AA22)))),AA4,AA4/2)))+IF(AB22="",0,IF(LEN(SUBSTITUTE(SUBSTITUTE(UPPER(AB22),"B",""),"C",""))&gt;0,0,IF(AND(ISNUMBER(FIND("B",UPPER(AB22))),ISNUMBER(FIND("C",UPPER(AB22)))),AB4,AB4/2)))+IF(UPPER(AC22)=UPPER(AC5),AC4,0)+IF(UPPER(AD22)=UPPER(AD5),AD4,0)+IF(UPPER(AE22)=UPPER(AE5),AE4,0)+IF(UPPER(AF22)=UPPER(AF5),AF4,0)+IF(UPPER(AG22)=UPPER(AG5),AG4,0)+IF(UPPER(AH22)=UPPER(AH5),AH4,0)+IF(AI22="",0,IF(LEN(SUBSTITUTE(SUBSTITUTE(UPPER(AI22),"B",""),"D",""))&gt;0,0,IF(AND(ISNUMBER(FIND("B",UPPER(AI22))),ISNUMBER(FIND("D",UPPER(AI22)))),AI4,AI4/2)))+IF(UPPER(AJ22)=UPPER(AJ5),AJ4,0)+IF(UPPER(AK22)=UPPER(AK5),AK4,0)+IF(UPPER(AL22)=UPPER(AL5),AL4,0)+IF(UPPER(AM22)=UPPER(AM5),AM4,0)+IF(AN22="",0,IF(LEN(SUBSTITUTE(SUBSTITUTE(UPPER(AN22),"B",""),"C",""))&gt;0,0,IF(AND(ISNUMBER(FIND("B",UPPER(AN22))),ISNUMBER(FIND("C",UPPER(AN22)))),AN4,AN4/2)))+IF(UPPER(AO22)=UPPER(AO5),AO4,0)+IF(UPPER(AP22)=UPPER(AP5),AP4,0)+IF(UPPER(AQ22)=UPPER(AQ5),AQ4,0)+IF(AR22="",0,IF(LEN(SUBSTITUTE(SUBSTITUTE(UPPER(AR22),"B",""),"C",""))&gt;0,0,IF(AND(ISNUMBER(FIND("B",UPPER(AR22))),ISNUMBER(FIND("C",UPPER(AR22)))),AR4,AR4/2)))</f>
        <v>75</v>
      </c>
      <c r="E22" s="13" t="s">
        <v>60</v>
      </c>
      <c r="F22" s="13" t="s">
        <v>61</v>
      </c>
      <c r="G22" s="13" t="s">
        <v>66</v>
      </c>
      <c r="H22" s="13" t="s">
        <v>60</v>
      </c>
      <c r="I22" s="13" t="s">
        <v>61</v>
      </c>
      <c r="J22" s="13" t="s">
        <v>61</v>
      </c>
      <c r="K22" s="13" t="s">
        <v>74</v>
      </c>
      <c r="L22" s="13" t="s">
        <v>63</v>
      </c>
      <c r="M22" s="13" t="s">
        <v>63</v>
      </c>
      <c r="N22" s="13" t="s">
        <v>64</v>
      </c>
      <c r="O22" s="13" t="s">
        <v>73</v>
      </c>
      <c r="P22" s="13" t="s">
        <v>61</v>
      </c>
      <c r="Q22" s="13" t="s">
        <v>60</v>
      </c>
      <c r="R22" s="13" t="s">
        <v>61</v>
      </c>
      <c r="S22" s="13" t="s">
        <v>60</v>
      </c>
      <c r="T22" s="13" t="s">
        <v>63</v>
      </c>
      <c r="U22" s="13" t="s">
        <v>74</v>
      </c>
      <c r="V22" s="13" t="s">
        <v>65</v>
      </c>
      <c r="W22" s="13" t="s">
        <v>63</v>
      </c>
      <c r="X22" s="13" t="s">
        <v>60</v>
      </c>
      <c r="Y22" s="13" t="s">
        <v>64</v>
      </c>
      <c r="Z22" s="13" t="s">
        <v>61</v>
      </c>
      <c r="AA22" s="13" t="s">
        <v>62</v>
      </c>
      <c r="AB22" s="13" t="s">
        <v>125</v>
      </c>
      <c r="AC22" s="13" t="s">
        <v>61</v>
      </c>
      <c r="AD22" s="13" t="s">
        <v>64</v>
      </c>
      <c r="AE22" s="13" t="s">
        <v>60</v>
      </c>
      <c r="AF22" s="13" t="s">
        <v>60</v>
      </c>
      <c r="AG22" s="13" t="s">
        <v>64</v>
      </c>
      <c r="AH22" s="13" t="s">
        <v>64</v>
      </c>
      <c r="AI22" s="13" t="s">
        <v>66</v>
      </c>
      <c r="AJ22" s="13" t="s">
        <v>64</v>
      </c>
      <c r="AK22" s="13" t="s">
        <v>63</v>
      </c>
      <c r="AL22" s="13" t="s">
        <v>64</v>
      </c>
      <c r="AM22" s="13" t="s">
        <v>63</v>
      </c>
      <c r="AN22" s="13" t="s">
        <v>73</v>
      </c>
      <c r="AO22" s="13" t="s">
        <v>60</v>
      </c>
      <c r="AP22" s="13" t="s">
        <v>63</v>
      </c>
      <c r="AQ22" s="13" t="s">
        <v>64</v>
      </c>
      <c r="AR22" s="13" t="s">
        <v>73</v>
      </c>
    </row>
    <row r="23" ht="15.75" customHeight="1">
      <c r="A23" s="10">
        <v>2.02390594E9</v>
      </c>
      <c r="B23" s="10" t="s">
        <v>203</v>
      </c>
      <c r="C23" s="10" t="s">
        <v>204</v>
      </c>
      <c r="D23" s="12">
        <f>IF(UPPER(E23)=UPPER(E5),E4,0)+IF(UPPER(F23)=UPPER(F5),F4,0)+IF(G23="",0,IF(LEN(SUBSTITUTE(SUBSTITUTE(UPPER(G23),"A",""),"D",""))&gt;0,0,IF(AND(ISNUMBER(FIND("A",UPPER(G23))),ISNUMBER(FIND("D",UPPER(G23)))),G4,G4/2)))+IF(UPPER(H23)=UPPER(H5),H4,0)+IF(UPPER(I23)=UPPER(I5),I4,0)+IF(UPPER(J23)=UPPER(J5),J4,0)+IF(K23="",0,IF(LEN(SUBSTITUTE(SUBSTITUTE(UPPER(K23),"B",""),"D",""))&gt;0,0,IF(AND(ISNUMBER(FIND("B",UPPER(K23))),ISNUMBER(FIND("D",UPPER(K23)))),K4,K4/2)))+IF(UPPER(L23)=UPPER(L5),L4,0)+IF(UPPER(M23)=UPPER(M5),M4,0)+IF(UPPER(N23)=UPPER(N5),N4,0)+IF(O23="",0,IF(LEN(SUBSTITUTE(SUBSTITUTE(UPPER(O23),"B",""),"C",""))&gt;0,0,IF(AND(ISNUMBER(FIND("B",UPPER(O23))),ISNUMBER(FIND("C",UPPER(O23)))),O4,O4/2)))+IF(UPPER(P23)=UPPER(P5),P4,0)+IF(UPPER(Q23)=UPPER(Q5),Q4,0)+IF(UPPER(R23)=UPPER(R5),R4,0)+IF(UPPER(S23)=UPPER(S5),S4,0)+IF(UPPER(T23)=UPPER(T5),T4,0)+IF(U23="",0,IF(LEN(SUBSTITUTE(SUBSTITUTE(UPPER(U23),"B",""),"D",""))&gt;0,0,IF(AND(ISNUMBER(FIND("B",UPPER(U23))),ISNUMBER(FIND("D",UPPER(U23)))),U4,U4/2)))+IF(V23="",0,IF(LEN(SUBSTITUTE(SUBSTITUTE(UPPER(V23),"A",""),"B",""))&gt;0,0,IF(AND(ISNUMBER(FIND("A",UPPER(V23))),ISNUMBER(FIND("B",UPPER(V23)))),V4,V4/2)))+IF(UPPER(W23)=UPPER(W5),W4,0)+IF(UPPER(X23)=UPPER(X5),X4,0)+IF(UPPER(Y23)=UPPER(Y5),Y4,0)+IF(UPPER(Z23)=UPPER(Z5),Z4,0)+IF(AA23="",0,IF(LEN(SUBSTITUTE(SUBSTITUTE(UPPER(AA23),"B",""),"D",""))&gt;0,0,IF(AND(ISNUMBER(FIND("B",UPPER(AA23))),ISNUMBER(FIND("D",UPPER(AA23)))),AA4,AA4/2)))+IF(AB23="",0,IF(LEN(SUBSTITUTE(SUBSTITUTE(UPPER(AB23),"B",""),"C",""))&gt;0,0,IF(AND(ISNUMBER(FIND("B",UPPER(AB23))),ISNUMBER(FIND("C",UPPER(AB23)))),AB4,AB4/2)))+IF(UPPER(AC23)=UPPER(AC5),AC4,0)+IF(UPPER(AD23)=UPPER(AD5),AD4,0)+IF(UPPER(AE23)=UPPER(AE5),AE4,0)+IF(UPPER(AF23)=UPPER(AF5),AF4,0)+IF(UPPER(AG23)=UPPER(AG5),AG4,0)+IF(UPPER(AH23)=UPPER(AH5),AH4,0)+IF(AI23="",0,IF(LEN(SUBSTITUTE(SUBSTITUTE(UPPER(AI23),"B",""),"D",""))&gt;0,0,IF(AND(ISNUMBER(FIND("B",UPPER(AI23))),ISNUMBER(FIND("D",UPPER(AI23)))),AI4,AI4/2)))+IF(UPPER(AJ23)=UPPER(AJ5),AJ4,0)+IF(UPPER(AK23)=UPPER(AK5),AK4,0)+IF(UPPER(AL23)=UPPER(AL5),AL4,0)+IF(UPPER(AM23)=UPPER(AM5),AM4,0)+IF(AN23="",0,IF(LEN(SUBSTITUTE(SUBSTITUTE(UPPER(AN23),"B",""),"C",""))&gt;0,0,IF(AND(ISNUMBER(FIND("B",UPPER(AN23))),ISNUMBER(FIND("C",UPPER(AN23)))),AN4,AN4/2)))+IF(UPPER(AO23)=UPPER(AO5),AO4,0)+IF(UPPER(AP23)=UPPER(AP5),AP4,0)+IF(UPPER(AQ23)=UPPER(AQ5),AQ4,0)+IF(AR23="",0,IF(LEN(SUBSTITUTE(SUBSTITUTE(UPPER(AR23),"B",""),"C",""))&gt;0,0,IF(AND(ISNUMBER(FIND("B",UPPER(AR23))),ISNUMBER(FIND("C",UPPER(AR23)))),AR4,AR4/2)))</f>
        <v>62.5</v>
      </c>
      <c r="E23" s="13" t="s">
        <v>63</v>
      </c>
      <c r="F23" s="13" t="s">
        <v>60</v>
      </c>
      <c r="G23" s="13" t="s">
        <v>67</v>
      </c>
      <c r="H23" s="13" t="s">
        <v>60</v>
      </c>
      <c r="I23" s="13" t="s">
        <v>64</v>
      </c>
      <c r="J23" s="13" t="s">
        <v>61</v>
      </c>
      <c r="K23" s="13" t="s">
        <v>125</v>
      </c>
      <c r="L23" s="13" t="s">
        <v>63</v>
      </c>
      <c r="M23" s="13" t="s">
        <v>63</v>
      </c>
      <c r="N23" s="13" t="s">
        <v>64</v>
      </c>
      <c r="O23" s="13" t="s">
        <v>73</v>
      </c>
      <c r="P23" s="13" t="s">
        <v>61</v>
      </c>
      <c r="Q23" s="13" t="s">
        <v>60</v>
      </c>
      <c r="R23" s="13" t="s">
        <v>61</v>
      </c>
      <c r="S23" s="13" t="s">
        <v>64</v>
      </c>
      <c r="T23" s="13" t="s">
        <v>63</v>
      </c>
      <c r="U23" s="13" t="s">
        <v>66</v>
      </c>
      <c r="V23" s="13" t="s">
        <v>62</v>
      </c>
      <c r="W23" s="13" t="s">
        <v>60</v>
      </c>
      <c r="X23" s="13" t="s">
        <v>64</v>
      </c>
      <c r="Y23" s="13" t="s">
        <v>60</v>
      </c>
      <c r="Z23" s="13" t="s">
        <v>61</v>
      </c>
      <c r="AA23" s="13" t="s">
        <v>125</v>
      </c>
      <c r="AB23" s="13" t="s">
        <v>74</v>
      </c>
      <c r="AC23" s="13" t="s">
        <v>63</v>
      </c>
      <c r="AD23" s="13" t="s">
        <v>64</v>
      </c>
      <c r="AE23" s="13" t="s">
        <v>60</v>
      </c>
      <c r="AF23" s="13" t="s">
        <v>60</v>
      </c>
      <c r="AG23" s="13" t="s">
        <v>64</v>
      </c>
      <c r="AH23" s="13" t="s">
        <v>64</v>
      </c>
      <c r="AI23" s="13" t="s">
        <v>74</v>
      </c>
      <c r="AJ23" s="13" t="s">
        <v>64</v>
      </c>
      <c r="AK23" s="13" t="s">
        <v>63</v>
      </c>
      <c r="AL23" s="13" t="s">
        <v>61</v>
      </c>
      <c r="AM23" s="13" t="s">
        <v>63</v>
      </c>
      <c r="AN23" s="13" t="s">
        <v>62</v>
      </c>
      <c r="AO23" s="13" t="s">
        <v>60</v>
      </c>
      <c r="AP23" s="13" t="s">
        <v>61</v>
      </c>
      <c r="AQ23" s="13" t="s">
        <v>60</v>
      </c>
      <c r="AR23" s="13" t="s">
        <v>126</v>
      </c>
    </row>
    <row r="24" ht="15.75" customHeight="1">
      <c r="A24" s="10">
        <v>2.023902043E9</v>
      </c>
      <c r="B24" s="10" t="s">
        <v>205</v>
      </c>
      <c r="C24" s="10" t="s">
        <v>206</v>
      </c>
      <c r="D24" s="12">
        <f>IF(UPPER(E24)=UPPER(E5),E4,0)+IF(UPPER(F24)=UPPER(F5),F4,0)+IF(G24="",0,IF(LEN(SUBSTITUTE(SUBSTITUTE(UPPER(G24),"A",""),"D",""))&gt;0,0,IF(AND(ISNUMBER(FIND("A",UPPER(G24))),ISNUMBER(FIND("D",UPPER(G24)))),G4,G4/2)))+IF(UPPER(H24)=UPPER(H5),H4,0)+IF(UPPER(I24)=UPPER(I5),I4,0)+IF(UPPER(J24)=UPPER(J5),J4,0)+IF(K24="",0,IF(LEN(SUBSTITUTE(SUBSTITUTE(UPPER(K24),"B",""),"D",""))&gt;0,0,IF(AND(ISNUMBER(FIND("B",UPPER(K24))),ISNUMBER(FIND("D",UPPER(K24)))),K4,K4/2)))+IF(UPPER(L24)=UPPER(L5),L4,0)+IF(UPPER(M24)=UPPER(M5),M4,0)+IF(UPPER(N24)=UPPER(N5),N4,0)+IF(O24="",0,IF(LEN(SUBSTITUTE(SUBSTITUTE(UPPER(O24),"B",""),"C",""))&gt;0,0,IF(AND(ISNUMBER(FIND("B",UPPER(O24))),ISNUMBER(FIND("C",UPPER(O24)))),O4,O4/2)))+IF(UPPER(P24)=UPPER(P5),P4,0)+IF(UPPER(Q24)=UPPER(Q5),Q4,0)+IF(UPPER(R24)=UPPER(R5),R4,0)+IF(UPPER(S24)=UPPER(S5),S4,0)+IF(UPPER(T24)=UPPER(T5),T4,0)+IF(U24="",0,IF(LEN(SUBSTITUTE(SUBSTITUTE(UPPER(U24),"B",""),"D",""))&gt;0,0,IF(AND(ISNUMBER(FIND("B",UPPER(U24))),ISNUMBER(FIND("D",UPPER(U24)))),U4,U4/2)))+IF(V24="",0,IF(LEN(SUBSTITUTE(SUBSTITUTE(UPPER(V24),"A",""),"B",""))&gt;0,0,IF(AND(ISNUMBER(FIND("A",UPPER(V24))),ISNUMBER(FIND("B",UPPER(V24)))),V4,V4/2)))+IF(UPPER(W24)=UPPER(W5),W4,0)+IF(UPPER(X24)=UPPER(X5),X4,0)+IF(UPPER(Y24)=UPPER(Y5),Y4,0)+IF(UPPER(Z24)=UPPER(Z5),Z4,0)+IF(AA24="",0,IF(LEN(SUBSTITUTE(SUBSTITUTE(UPPER(AA24),"B",""),"D",""))&gt;0,0,IF(AND(ISNUMBER(FIND("B",UPPER(AA24))),ISNUMBER(FIND("D",UPPER(AA24)))),AA4,AA4/2)))+IF(AB24="",0,IF(LEN(SUBSTITUTE(SUBSTITUTE(UPPER(AB24),"B",""),"C",""))&gt;0,0,IF(AND(ISNUMBER(FIND("B",UPPER(AB24))),ISNUMBER(FIND("C",UPPER(AB24)))),AB4,AB4/2)))+IF(UPPER(AC24)=UPPER(AC5),AC4,0)+IF(UPPER(AD24)=UPPER(AD5),AD4,0)+IF(UPPER(AE24)=UPPER(AE5),AE4,0)+IF(UPPER(AF24)=UPPER(AF5),AF4,0)+IF(UPPER(AG24)=UPPER(AG5),AG4,0)+IF(UPPER(AH24)=UPPER(AH5),AH4,0)+IF(AI24="",0,IF(LEN(SUBSTITUTE(SUBSTITUTE(UPPER(AI24),"B",""),"D",""))&gt;0,0,IF(AND(ISNUMBER(FIND("B",UPPER(AI24))),ISNUMBER(FIND("D",UPPER(AI24)))),AI4,AI4/2)))+IF(UPPER(AJ24)=UPPER(AJ5),AJ4,0)+IF(UPPER(AK24)=UPPER(AK5),AK4,0)+IF(UPPER(AL24)=UPPER(AL5),AL4,0)+IF(UPPER(AM24)=UPPER(AM5),AM4,0)+IF(AN24="",0,IF(LEN(SUBSTITUTE(SUBSTITUTE(UPPER(AN24),"B",""),"C",""))&gt;0,0,IF(AND(ISNUMBER(FIND("B",UPPER(AN24))),ISNUMBER(FIND("C",UPPER(AN24)))),AN4,AN4/2)))+IF(UPPER(AO24)=UPPER(AO5),AO4,0)+IF(UPPER(AP24)=UPPER(AP5),AP4,0)+IF(UPPER(AQ24)=UPPER(AQ5),AQ4,0)+IF(AR24="",0,IF(LEN(SUBSTITUTE(SUBSTITUTE(UPPER(AR24),"B",""),"C",""))&gt;0,0,IF(AND(ISNUMBER(FIND("B",UPPER(AR24))),ISNUMBER(FIND("C",UPPER(AR24)))),AR4,AR4/2)))</f>
        <v>82.5</v>
      </c>
      <c r="E24" s="13" t="s">
        <v>63</v>
      </c>
      <c r="F24" s="13" t="s">
        <v>60</v>
      </c>
      <c r="G24" s="13" t="s">
        <v>67</v>
      </c>
      <c r="H24" s="13" t="s">
        <v>61</v>
      </c>
      <c r="I24" s="13" t="s">
        <v>64</v>
      </c>
      <c r="J24" s="13" t="s">
        <v>61</v>
      </c>
      <c r="K24" s="13" t="s">
        <v>74</v>
      </c>
      <c r="L24" s="13" t="s">
        <v>63</v>
      </c>
      <c r="M24" s="13" t="s">
        <v>63</v>
      </c>
      <c r="N24" s="13" t="s">
        <v>64</v>
      </c>
      <c r="O24" s="13" t="s">
        <v>73</v>
      </c>
      <c r="P24" s="13" t="s">
        <v>61</v>
      </c>
      <c r="Q24" s="13" t="s">
        <v>60</v>
      </c>
      <c r="R24" s="13" t="s">
        <v>61</v>
      </c>
      <c r="S24" s="13" t="s">
        <v>60</v>
      </c>
      <c r="T24" s="13" t="s">
        <v>63</v>
      </c>
      <c r="U24" s="13" t="s">
        <v>74</v>
      </c>
      <c r="V24" s="13" t="s">
        <v>64</v>
      </c>
      <c r="W24" s="13" t="s">
        <v>63</v>
      </c>
      <c r="X24" s="13" t="s">
        <v>60</v>
      </c>
      <c r="Y24" s="13" t="s">
        <v>61</v>
      </c>
      <c r="Z24" s="13" t="s">
        <v>61</v>
      </c>
      <c r="AA24" s="13" t="s">
        <v>182</v>
      </c>
      <c r="AB24" s="13" t="s">
        <v>73</v>
      </c>
      <c r="AC24" s="13" t="s">
        <v>61</v>
      </c>
      <c r="AD24" s="13" t="s">
        <v>64</v>
      </c>
      <c r="AE24" s="13" t="s">
        <v>60</v>
      </c>
      <c r="AF24" s="13" t="s">
        <v>60</v>
      </c>
      <c r="AG24" s="13" t="s">
        <v>64</v>
      </c>
      <c r="AH24" s="13" t="s">
        <v>64</v>
      </c>
      <c r="AI24" s="13" t="s">
        <v>74</v>
      </c>
      <c r="AJ24" s="13" t="s">
        <v>64</v>
      </c>
      <c r="AK24" s="13" t="s">
        <v>63</v>
      </c>
      <c r="AL24" s="13" t="s">
        <v>64</v>
      </c>
      <c r="AM24" s="13" t="s">
        <v>63</v>
      </c>
      <c r="AN24" s="13" t="s">
        <v>62</v>
      </c>
      <c r="AO24" s="13" t="s">
        <v>60</v>
      </c>
      <c r="AP24" s="13" t="s">
        <v>63</v>
      </c>
      <c r="AQ24" s="13" t="s">
        <v>64</v>
      </c>
      <c r="AR24" s="13" t="s">
        <v>73</v>
      </c>
    </row>
    <row r="25" ht="15.75" customHeight="1">
      <c r="A25" s="10">
        <v>2.023905328E9</v>
      </c>
      <c r="B25" s="10" t="s">
        <v>207</v>
      </c>
      <c r="C25" s="10" t="s">
        <v>208</v>
      </c>
      <c r="D25" s="12">
        <f>IF(UPPER(E25)=UPPER(E5),E4,0)+IF(UPPER(F25)=UPPER(F5),F4,0)+IF(G25="",0,IF(LEN(SUBSTITUTE(SUBSTITUTE(UPPER(G25),"A",""),"D",""))&gt;0,0,IF(AND(ISNUMBER(FIND("A",UPPER(G25))),ISNUMBER(FIND("D",UPPER(G25)))),G4,G4/2)))+IF(UPPER(H25)=UPPER(H5),H4,0)+IF(UPPER(I25)=UPPER(I5),I4,0)+IF(UPPER(J25)=UPPER(J5),J4,0)+IF(K25="",0,IF(LEN(SUBSTITUTE(SUBSTITUTE(UPPER(K25),"B",""),"D",""))&gt;0,0,IF(AND(ISNUMBER(FIND("B",UPPER(K25))),ISNUMBER(FIND("D",UPPER(K25)))),K4,K4/2)))+IF(UPPER(L25)=UPPER(L5),L4,0)+IF(UPPER(M25)=UPPER(M5),M4,0)+IF(UPPER(N25)=UPPER(N5),N4,0)+IF(O25="",0,IF(LEN(SUBSTITUTE(SUBSTITUTE(UPPER(O25),"B",""),"C",""))&gt;0,0,IF(AND(ISNUMBER(FIND("B",UPPER(O25))),ISNUMBER(FIND("C",UPPER(O25)))),O4,O4/2)))+IF(UPPER(P25)=UPPER(P5),P4,0)+IF(UPPER(Q25)=UPPER(Q5),Q4,0)+IF(UPPER(R25)=UPPER(R5),R4,0)+IF(UPPER(S25)=UPPER(S5),S4,0)+IF(UPPER(T25)=UPPER(T5),T4,0)+IF(U25="",0,IF(LEN(SUBSTITUTE(SUBSTITUTE(UPPER(U25),"B",""),"D",""))&gt;0,0,IF(AND(ISNUMBER(FIND("B",UPPER(U25))),ISNUMBER(FIND("D",UPPER(U25)))),U4,U4/2)))+IF(V25="",0,IF(LEN(SUBSTITUTE(SUBSTITUTE(UPPER(V25),"A",""),"B",""))&gt;0,0,IF(AND(ISNUMBER(FIND("A",UPPER(V25))),ISNUMBER(FIND("B",UPPER(V25)))),V4,V4/2)))+IF(UPPER(W25)=UPPER(W5),W4,0)+IF(UPPER(X25)=UPPER(X5),X4,0)+IF(UPPER(Y25)=UPPER(Y5),Y4,0)+IF(UPPER(Z25)=UPPER(Z5),Z4,0)+IF(AA25="",0,IF(LEN(SUBSTITUTE(SUBSTITUTE(UPPER(AA25),"B",""),"D",""))&gt;0,0,IF(AND(ISNUMBER(FIND("B",UPPER(AA25))),ISNUMBER(FIND("D",UPPER(AA25)))),AA4,AA4/2)))+IF(AB25="",0,IF(LEN(SUBSTITUTE(SUBSTITUTE(UPPER(AB25),"B",""),"C",""))&gt;0,0,IF(AND(ISNUMBER(FIND("B",UPPER(AB25))),ISNUMBER(FIND("C",UPPER(AB25)))),AB4,AB4/2)))+IF(UPPER(AC25)=UPPER(AC5),AC4,0)+IF(UPPER(AD25)=UPPER(AD5),AD4,0)+IF(UPPER(AE25)=UPPER(AE5),AE4,0)+IF(UPPER(AF25)=UPPER(AF5),AF4,0)+IF(UPPER(AG25)=UPPER(AG5),AG4,0)+IF(UPPER(AH25)=UPPER(AH5),AH4,0)+IF(AI25="",0,IF(LEN(SUBSTITUTE(SUBSTITUTE(UPPER(AI25),"B",""),"D",""))&gt;0,0,IF(AND(ISNUMBER(FIND("B",UPPER(AI25))),ISNUMBER(FIND("D",UPPER(AI25)))),AI4,AI4/2)))+IF(UPPER(AJ25)=UPPER(AJ5),AJ4,0)+IF(UPPER(AK25)=UPPER(AK5),AK4,0)+IF(UPPER(AL25)=UPPER(AL5),AL4,0)+IF(UPPER(AM25)=UPPER(AM5),AM4,0)+IF(AN25="",0,IF(LEN(SUBSTITUTE(SUBSTITUTE(UPPER(AN25),"B",""),"C",""))&gt;0,0,IF(AND(ISNUMBER(FIND("B",UPPER(AN25))),ISNUMBER(FIND("C",UPPER(AN25)))),AN4,AN4/2)))+IF(UPPER(AO25)=UPPER(AO5),AO4,0)+IF(UPPER(AP25)=UPPER(AP5),AP4,0)+IF(UPPER(AQ25)=UPPER(AQ5),AQ4,0)+IF(AR25="",0,IF(LEN(SUBSTITUTE(SUBSTITUTE(UPPER(AR25),"B",""),"C",""))&gt;0,0,IF(AND(ISNUMBER(FIND("B",UPPER(AR25))),ISNUMBER(FIND("C",UPPER(AR25)))),AR4,AR4/2)))</f>
        <v>96.25</v>
      </c>
      <c r="E25" s="13" t="s">
        <v>63</v>
      </c>
      <c r="F25" s="13" t="s">
        <v>60</v>
      </c>
      <c r="G25" s="13" t="s">
        <v>64</v>
      </c>
      <c r="H25" s="13" t="s">
        <v>60</v>
      </c>
      <c r="I25" s="13" t="s">
        <v>61</v>
      </c>
      <c r="J25" s="13" t="s">
        <v>61</v>
      </c>
      <c r="K25" s="13" t="s">
        <v>74</v>
      </c>
      <c r="L25" s="13" t="s">
        <v>63</v>
      </c>
      <c r="M25" s="13" t="s">
        <v>63</v>
      </c>
      <c r="N25" s="13" t="s">
        <v>64</v>
      </c>
      <c r="O25" s="13" t="s">
        <v>73</v>
      </c>
      <c r="P25" s="13" t="s">
        <v>61</v>
      </c>
      <c r="Q25" s="13" t="s">
        <v>60</v>
      </c>
      <c r="R25" s="13" t="s">
        <v>61</v>
      </c>
      <c r="S25" s="13" t="s">
        <v>64</v>
      </c>
      <c r="T25" s="13" t="s">
        <v>63</v>
      </c>
      <c r="U25" s="13" t="s">
        <v>64</v>
      </c>
      <c r="V25" s="13" t="s">
        <v>60</v>
      </c>
      <c r="W25" s="13" t="s">
        <v>63</v>
      </c>
      <c r="X25" s="13" t="s">
        <v>60</v>
      </c>
      <c r="Y25" s="13" t="s">
        <v>61</v>
      </c>
      <c r="Z25" s="13" t="s">
        <v>61</v>
      </c>
      <c r="AA25" s="13" t="s">
        <v>74</v>
      </c>
      <c r="AB25" s="13" t="s">
        <v>73</v>
      </c>
      <c r="AC25" s="13" t="s">
        <v>61</v>
      </c>
      <c r="AD25" s="13" t="s">
        <v>64</v>
      </c>
      <c r="AE25" s="13" t="s">
        <v>60</v>
      </c>
      <c r="AF25" s="13" t="s">
        <v>60</v>
      </c>
      <c r="AG25" s="13" t="s">
        <v>64</v>
      </c>
      <c r="AH25" s="13" t="s">
        <v>64</v>
      </c>
      <c r="AI25" s="13" t="s">
        <v>74</v>
      </c>
      <c r="AJ25" s="13" t="s">
        <v>64</v>
      </c>
      <c r="AK25" s="13" t="s">
        <v>63</v>
      </c>
      <c r="AL25" s="13" t="s">
        <v>64</v>
      </c>
      <c r="AM25" s="13" t="s">
        <v>63</v>
      </c>
      <c r="AN25" s="13" t="s">
        <v>73</v>
      </c>
      <c r="AO25" s="13" t="s">
        <v>60</v>
      </c>
      <c r="AP25" s="13" t="s">
        <v>63</v>
      </c>
      <c r="AQ25" s="13" t="s">
        <v>63</v>
      </c>
      <c r="AR25" s="13" t="s">
        <v>73</v>
      </c>
    </row>
    <row r="26" ht="15.75" customHeight="1">
      <c r="A26" s="10">
        <v>2.023905329E9</v>
      </c>
      <c r="B26" s="10" t="s">
        <v>209</v>
      </c>
      <c r="C26" s="10" t="s">
        <v>210</v>
      </c>
      <c r="D26" s="12">
        <f>IF(UPPER(E26)=UPPER(E5),E4,0)+IF(UPPER(F26)=UPPER(F5),F4,0)+IF(G26="",0,IF(LEN(SUBSTITUTE(SUBSTITUTE(UPPER(G26),"A",""),"D",""))&gt;0,0,IF(AND(ISNUMBER(FIND("A",UPPER(G26))),ISNUMBER(FIND("D",UPPER(G26)))),G4,G4/2)))+IF(UPPER(H26)=UPPER(H5),H4,0)+IF(UPPER(I26)=UPPER(I5),I4,0)+IF(UPPER(J26)=UPPER(J5),J4,0)+IF(K26="",0,IF(LEN(SUBSTITUTE(SUBSTITUTE(UPPER(K26),"B",""),"D",""))&gt;0,0,IF(AND(ISNUMBER(FIND("B",UPPER(K26))),ISNUMBER(FIND("D",UPPER(K26)))),K4,K4/2)))+IF(UPPER(L26)=UPPER(L5),L4,0)+IF(UPPER(M26)=UPPER(M5),M4,0)+IF(UPPER(N26)=UPPER(N5),N4,0)+IF(O26="",0,IF(LEN(SUBSTITUTE(SUBSTITUTE(UPPER(O26),"B",""),"C",""))&gt;0,0,IF(AND(ISNUMBER(FIND("B",UPPER(O26))),ISNUMBER(FIND("C",UPPER(O26)))),O4,O4/2)))+IF(UPPER(P26)=UPPER(P5),P4,0)+IF(UPPER(Q26)=UPPER(Q5),Q4,0)+IF(UPPER(R26)=UPPER(R5),R4,0)+IF(UPPER(S26)=UPPER(S5),S4,0)+IF(UPPER(T26)=UPPER(T5),T4,0)+IF(U26="",0,IF(LEN(SUBSTITUTE(SUBSTITUTE(UPPER(U26),"B",""),"D",""))&gt;0,0,IF(AND(ISNUMBER(FIND("B",UPPER(U26))),ISNUMBER(FIND("D",UPPER(U26)))),U4,U4/2)))+IF(V26="",0,IF(LEN(SUBSTITUTE(SUBSTITUTE(UPPER(V26),"A",""),"B",""))&gt;0,0,IF(AND(ISNUMBER(FIND("A",UPPER(V26))),ISNUMBER(FIND("B",UPPER(V26)))),V4,V4/2)))+IF(UPPER(W26)=UPPER(W5),W4,0)+IF(UPPER(X26)=UPPER(X5),X4,0)+IF(UPPER(Y26)=UPPER(Y5),Y4,0)+IF(UPPER(Z26)=UPPER(Z5),Z4,0)+IF(AA26="",0,IF(LEN(SUBSTITUTE(SUBSTITUTE(UPPER(AA26),"B",""),"D",""))&gt;0,0,IF(AND(ISNUMBER(FIND("B",UPPER(AA26))),ISNUMBER(FIND("D",UPPER(AA26)))),AA4,AA4/2)))+IF(AB26="",0,IF(LEN(SUBSTITUTE(SUBSTITUTE(UPPER(AB26),"B",""),"C",""))&gt;0,0,IF(AND(ISNUMBER(FIND("B",UPPER(AB26))),ISNUMBER(FIND("C",UPPER(AB26)))),AB4,AB4/2)))+IF(UPPER(AC26)=UPPER(AC5),AC4,0)+IF(UPPER(AD26)=UPPER(AD5),AD4,0)+IF(UPPER(AE26)=UPPER(AE5),AE4,0)+IF(UPPER(AF26)=UPPER(AF5),AF4,0)+IF(UPPER(AG26)=UPPER(AG5),AG4,0)+IF(UPPER(AH26)=UPPER(AH5),AH4,0)+IF(AI26="",0,IF(LEN(SUBSTITUTE(SUBSTITUTE(UPPER(AI26),"B",""),"D",""))&gt;0,0,IF(AND(ISNUMBER(FIND("B",UPPER(AI26))),ISNUMBER(FIND("D",UPPER(AI26)))),AI4,AI4/2)))+IF(UPPER(AJ26)=UPPER(AJ5),AJ4,0)+IF(UPPER(AK26)=UPPER(AK5),AK4,0)+IF(UPPER(AL26)=UPPER(AL5),AL4,0)+IF(UPPER(AM26)=UPPER(AM5),AM4,0)+IF(AN26="",0,IF(LEN(SUBSTITUTE(SUBSTITUTE(UPPER(AN26),"B",""),"C",""))&gt;0,0,IF(AND(ISNUMBER(FIND("B",UPPER(AN26))),ISNUMBER(FIND("C",UPPER(AN26)))),AN4,AN4/2)))+IF(UPPER(AO26)=UPPER(AO5),AO4,0)+IF(UPPER(AP26)=UPPER(AP5),AP4,0)+IF(UPPER(AQ26)=UPPER(AQ5),AQ4,0)+IF(AR26="",0,IF(LEN(SUBSTITUTE(SUBSTITUTE(UPPER(AR26),"B",""),"C",""))&gt;0,0,IF(AND(ISNUMBER(FIND("B",UPPER(AR26))),ISNUMBER(FIND("C",UPPER(AR26)))),AR4,AR4/2)))</f>
        <v>100</v>
      </c>
      <c r="E26" s="13" t="s">
        <v>63</v>
      </c>
      <c r="F26" s="13" t="s">
        <v>60</v>
      </c>
      <c r="G26" s="13" t="s">
        <v>67</v>
      </c>
      <c r="H26" s="13" t="s">
        <v>60</v>
      </c>
      <c r="I26" s="13" t="s">
        <v>61</v>
      </c>
      <c r="J26" s="13" t="s">
        <v>61</v>
      </c>
      <c r="K26" s="13" t="s">
        <v>74</v>
      </c>
      <c r="L26" s="13" t="s">
        <v>63</v>
      </c>
      <c r="M26" s="13" t="s">
        <v>63</v>
      </c>
      <c r="N26" s="13" t="s">
        <v>64</v>
      </c>
      <c r="O26" s="13" t="s">
        <v>73</v>
      </c>
      <c r="P26" s="13" t="s">
        <v>61</v>
      </c>
      <c r="Q26" s="13" t="s">
        <v>60</v>
      </c>
      <c r="R26" s="13" t="s">
        <v>61</v>
      </c>
      <c r="S26" s="13" t="s">
        <v>64</v>
      </c>
      <c r="T26" s="13" t="s">
        <v>63</v>
      </c>
      <c r="U26" s="13" t="s">
        <v>74</v>
      </c>
      <c r="V26" s="13" t="s">
        <v>66</v>
      </c>
      <c r="W26" s="13" t="s">
        <v>63</v>
      </c>
      <c r="X26" s="13" t="s">
        <v>60</v>
      </c>
      <c r="Y26" s="13" t="s">
        <v>61</v>
      </c>
      <c r="Z26" s="13" t="s">
        <v>61</v>
      </c>
      <c r="AA26" s="13" t="s">
        <v>74</v>
      </c>
      <c r="AB26" s="13" t="s">
        <v>73</v>
      </c>
      <c r="AC26" s="13" t="s">
        <v>61</v>
      </c>
      <c r="AD26" s="13" t="s">
        <v>64</v>
      </c>
      <c r="AE26" s="13" t="s">
        <v>60</v>
      </c>
      <c r="AF26" s="13" t="s">
        <v>60</v>
      </c>
      <c r="AG26" s="13" t="s">
        <v>64</v>
      </c>
      <c r="AH26" s="13" t="s">
        <v>64</v>
      </c>
      <c r="AI26" s="13" t="s">
        <v>74</v>
      </c>
      <c r="AJ26" s="13" t="s">
        <v>64</v>
      </c>
      <c r="AK26" s="13" t="s">
        <v>63</v>
      </c>
      <c r="AL26" s="13" t="s">
        <v>64</v>
      </c>
      <c r="AM26" s="13" t="s">
        <v>63</v>
      </c>
      <c r="AN26" s="13" t="s">
        <v>73</v>
      </c>
      <c r="AO26" s="13" t="s">
        <v>60</v>
      </c>
      <c r="AP26" s="13" t="s">
        <v>63</v>
      </c>
      <c r="AQ26" s="13" t="s">
        <v>63</v>
      </c>
      <c r="AR26" s="13" t="s">
        <v>73</v>
      </c>
    </row>
    <row r="27" ht="15.75" customHeight="1">
      <c r="A27" s="10">
        <v>2.023903991E9</v>
      </c>
      <c r="B27" s="10" t="s">
        <v>211</v>
      </c>
      <c r="C27" s="10" t="s">
        <v>212</v>
      </c>
      <c r="D27" s="12">
        <f>IF(UPPER(E27)=UPPER(E5),E4,0)+IF(UPPER(F27)=UPPER(F5),F4,0)+IF(G27="",0,IF(LEN(SUBSTITUTE(SUBSTITUTE(UPPER(G27),"A",""),"D",""))&gt;0,0,IF(AND(ISNUMBER(FIND("A",UPPER(G27))),ISNUMBER(FIND("D",UPPER(G27)))),G4,G4/2)))+IF(UPPER(H27)=UPPER(H5),H4,0)+IF(UPPER(I27)=UPPER(I5),I4,0)+IF(UPPER(J27)=UPPER(J5),J4,0)+IF(K27="",0,IF(LEN(SUBSTITUTE(SUBSTITUTE(UPPER(K27),"B",""),"D",""))&gt;0,0,IF(AND(ISNUMBER(FIND("B",UPPER(K27))),ISNUMBER(FIND("D",UPPER(K27)))),K4,K4/2)))+IF(UPPER(L27)=UPPER(L5),L4,0)+IF(UPPER(M27)=UPPER(M5),M4,0)+IF(UPPER(N27)=UPPER(N5),N4,0)+IF(O27="",0,IF(LEN(SUBSTITUTE(SUBSTITUTE(UPPER(O27),"B",""),"C",""))&gt;0,0,IF(AND(ISNUMBER(FIND("B",UPPER(O27))),ISNUMBER(FIND("C",UPPER(O27)))),O4,O4/2)))+IF(UPPER(P27)=UPPER(P5),P4,0)+IF(UPPER(Q27)=UPPER(Q5),Q4,0)+IF(UPPER(R27)=UPPER(R5),R4,0)+IF(UPPER(S27)=UPPER(S5),S4,0)+IF(UPPER(T27)=UPPER(T5),T4,0)+IF(U27="",0,IF(LEN(SUBSTITUTE(SUBSTITUTE(UPPER(U27),"B",""),"D",""))&gt;0,0,IF(AND(ISNUMBER(FIND("B",UPPER(U27))),ISNUMBER(FIND("D",UPPER(U27)))),U4,U4/2)))+IF(V27="",0,IF(LEN(SUBSTITUTE(SUBSTITUTE(UPPER(V27),"A",""),"B",""))&gt;0,0,IF(AND(ISNUMBER(FIND("A",UPPER(V27))),ISNUMBER(FIND("B",UPPER(V27)))),V4,V4/2)))+IF(UPPER(W27)=UPPER(W5),W4,0)+IF(UPPER(X27)=UPPER(X5),X4,0)+IF(UPPER(Y27)=UPPER(Y5),Y4,0)+IF(UPPER(Z27)=UPPER(Z5),Z4,0)+IF(AA27="",0,IF(LEN(SUBSTITUTE(SUBSTITUTE(UPPER(AA27),"B",""),"D",""))&gt;0,0,IF(AND(ISNUMBER(FIND("B",UPPER(AA27))),ISNUMBER(FIND("D",UPPER(AA27)))),AA4,AA4/2)))+IF(AB27="",0,IF(LEN(SUBSTITUTE(SUBSTITUTE(UPPER(AB27),"B",""),"C",""))&gt;0,0,IF(AND(ISNUMBER(FIND("B",UPPER(AB27))),ISNUMBER(FIND("C",UPPER(AB27)))),AB4,AB4/2)))+IF(UPPER(AC27)=UPPER(AC5),AC4,0)+IF(UPPER(AD27)=UPPER(AD5),AD4,0)+IF(UPPER(AE27)=UPPER(AE5),AE4,0)+IF(UPPER(AF27)=UPPER(AF5),AF4,0)+IF(UPPER(AG27)=UPPER(AG5),AG4,0)+IF(UPPER(AH27)=UPPER(AH5),AH4,0)+IF(AI27="",0,IF(LEN(SUBSTITUTE(SUBSTITUTE(UPPER(AI27),"B",""),"D",""))&gt;0,0,IF(AND(ISNUMBER(FIND("B",UPPER(AI27))),ISNUMBER(FIND("D",UPPER(AI27)))),AI4,AI4/2)))+IF(UPPER(AJ27)=UPPER(AJ5),AJ4,0)+IF(UPPER(AK27)=UPPER(AK5),AK4,0)+IF(UPPER(AL27)=UPPER(AL5),AL4,0)+IF(UPPER(AM27)=UPPER(AM5),AM4,0)+IF(AN27="",0,IF(LEN(SUBSTITUTE(SUBSTITUTE(UPPER(AN27),"B",""),"C",""))&gt;0,0,IF(AND(ISNUMBER(FIND("B",UPPER(AN27))),ISNUMBER(FIND("C",UPPER(AN27)))),AN4,AN4/2)))+IF(UPPER(AO27)=UPPER(AO5),AO4,0)+IF(UPPER(AP27)=UPPER(AP5),AP4,0)+IF(UPPER(AQ27)=UPPER(AQ5),AQ4,0)+IF(AR27="",0,IF(LEN(SUBSTITUTE(SUBSTITUTE(UPPER(AR27),"B",""),"C",""))&gt;0,0,IF(AND(ISNUMBER(FIND("B",UPPER(AR27))),ISNUMBER(FIND("C",UPPER(AR27)))),AR4,AR4/2)))</f>
        <v>97.5</v>
      </c>
      <c r="E27" s="13" t="s">
        <v>63</v>
      </c>
      <c r="F27" s="13" t="s">
        <v>60</v>
      </c>
      <c r="G27" s="13" t="s">
        <v>67</v>
      </c>
      <c r="H27" s="13" t="s">
        <v>60</v>
      </c>
      <c r="I27" s="13" t="s">
        <v>61</v>
      </c>
      <c r="J27" s="13" t="s">
        <v>61</v>
      </c>
      <c r="K27" s="13" t="s">
        <v>74</v>
      </c>
      <c r="L27" s="13" t="s">
        <v>63</v>
      </c>
      <c r="M27" s="13" t="s">
        <v>63</v>
      </c>
      <c r="N27" s="13" t="s">
        <v>64</v>
      </c>
      <c r="O27" s="13" t="s">
        <v>73</v>
      </c>
      <c r="P27" s="13" t="s">
        <v>61</v>
      </c>
      <c r="Q27" s="13" t="s">
        <v>60</v>
      </c>
      <c r="R27" s="13" t="s">
        <v>61</v>
      </c>
      <c r="S27" s="13" t="s">
        <v>64</v>
      </c>
      <c r="T27" s="13" t="s">
        <v>63</v>
      </c>
      <c r="U27" s="13" t="s">
        <v>74</v>
      </c>
      <c r="V27" s="13" t="s">
        <v>66</v>
      </c>
      <c r="W27" s="13" t="s">
        <v>63</v>
      </c>
      <c r="X27" s="13" t="s">
        <v>60</v>
      </c>
      <c r="Y27" s="13" t="s">
        <v>61</v>
      </c>
      <c r="Z27" s="13" t="s">
        <v>61</v>
      </c>
      <c r="AA27" s="13" t="s">
        <v>74</v>
      </c>
      <c r="AB27" s="13" t="s">
        <v>73</v>
      </c>
      <c r="AC27" s="13" t="s">
        <v>61</v>
      </c>
      <c r="AD27" s="13" t="s">
        <v>64</v>
      </c>
      <c r="AE27" s="13" t="s">
        <v>60</v>
      </c>
      <c r="AF27" s="13" t="s">
        <v>60</v>
      </c>
      <c r="AG27" s="13" t="s">
        <v>64</v>
      </c>
      <c r="AH27" s="13" t="s">
        <v>64</v>
      </c>
      <c r="AI27" s="13" t="s">
        <v>74</v>
      </c>
      <c r="AJ27" s="13" t="s">
        <v>64</v>
      </c>
      <c r="AK27" s="13" t="s">
        <v>63</v>
      </c>
      <c r="AL27" s="13" t="s">
        <v>64</v>
      </c>
      <c r="AM27" s="13" t="s">
        <v>63</v>
      </c>
      <c r="AN27" s="13" t="s">
        <v>73</v>
      </c>
      <c r="AO27" s="13" t="s">
        <v>60</v>
      </c>
      <c r="AP27" s="13" t="s">
        <v>63</v>
      </c>
      <c r="AQ27" s="13" t="s">
        <v>64</v>
      </c>
      <c r="AR27" s="13" t="s">
        <v>73</v>
      </c>
    </row>
    <row r="28" ht="15.75" customHeight="1">
      <c r="A28" s="10">
        <v>2.0239009E9</v>
      </c>
      <c r="B28" s="10" t="s">
        <v>213</v>
      </c>
      <c r="C28" s="10" t="s">
        <v>214</v>
      </c>
      <c r="D28" s="12">
        <f>IF(UPPER(E28)=UPPER(E5),E4,0)+IF(UPPER(F28)=UPPER(F5),F4,0)+IF(G28="",0,IF(LEN(SUBSTITUTE(SUBSTITUTE(UPPER(G28),"A",""),"D",""))&gt;0,0,IF(AND(ISNUMBER(FIND("A",UPPER(G28))),ISNUMBER(FIND("D",UPPER(G28)))),G4,G4/2)))+IF(UPPER(H28)=UPPER(H5),H4,0)+IF(UPPER(I28)=UPPER(I5),I4,0)+IF(UPPER(J28)=UPPER(J5),J4,0)+IF(K28="",0,IF(LEN(SUBSTITUTE(SUBSTITUTE(UPPER(K28),"B",""),"D",""))&gt;0,0,IF(AND(ISNUMBER(FIND("B",UPPER(K28))),ISNUMBER(FIND("D",UPPER(K28)))),K4,K4/2)))+IF(UPPER(L28)=UPPER(L5),L4,0)+IF(UPPER(M28)=UPPER(M5),M4,0)+IF(UPPER(N28)=UPPER(N5),N4,0)+IF(O28="",0,IF(LEN(SUBSTITUTE(SUBSTITUTE(UPPER(O28),"B",""),"C",""))&gt;0,0,IF(AND(ISNUMBER(FIND("B",UPPER(O28))),ISNUMBER(FIND("C",UPPER(O28)))),O4,O4/2)))+IF(UPPER(P28)=UPPER(P5),P4,0)+IF(UPPER(Q28)=UPPER(Q5),Q4,0)+IF(UPPER(R28)=UPPER(R5),R4,0)+IF(UPPER(S28)=UPPER(S5),S4,0)+IF(UPPER(T28)=UPPER(T5),T4,0)+IF(U28="",0,IF(LEN(SUBSTITUTE(SUBSTITUTE(UPPER(U28),"B",""),"D",""))&gt;0,0,IF(AND(ISNUMBER(FIND("B",UPPER(U28))),ISNUMBER(FIND("D",UPPER(U28)))),U4,U4/2)))+IF(V28="",0,IF(LEN(SUBSTITUTE(SUBSTITUTE(UPPER(V28),"A",""),"B",""))&gt;0,0,IF(AND(ISNUMBER(FIND("A",UPPER(V28))),ISNUMBER(FIND("B",UPPER(V28)))),V4,V4/2)))+IF(UPPER(W28)=UPPER(W5),W4,0)+IF(UPPER(X28)=UPPER(X5),X4,0)+IF(UPPER(Y28)=UPPER(Y5),Y4,0)+IF(UPPER(Z28)=UPPER(Z5),Z4,0)+IF(AA28="",0,IF(LEN(SUBSTITUTE(SUBSTITUTE(UPPER(AA28),"B",""),"D",""))&gt;0,0,IF(AND(ISNUMBER(FIND("B",UPPER(AA28))),ISNUMBER(FIND("D",UPPER(AA28)))),AA4,AA4/2)))+IF(AB28="",0,IF(LEN(SUBSTITUTE(SUBSTITUTE(UPPER(AB28),"B",""),"C",""))&gt;0,0,IF(AND(ISNUMBER(FIND("B",UPPER(AB28))),ISNUMBER(FIND("C",UPPER(AB28)))),AB4,AB4/2)))+IF(UPPER(AC28)=UPPER(AC5),AC4,0)+IF(UPPER(AD28)=UPPER(AD5),AD4,0)+IF(UPPER(AE28)=UPPER(AE5),AE4,0)+IF(UPPER(AF28)=UPPER(AF5),AF4,0)+IF(UPPER(AG28)=UPPER(AG5),AG4,0)+IF(UPPER(AH28)=UPPER(AH5),AH4,0)+IF(AI28="",0,IF(LEN(SUBSTITUTE(SUBSTITUTE(UPPER(AI28),"B",""),"D",""))&gt;0,0,IF(AND(ISNUMBER(FIND("B",UPPER(AI28))),ISNUMBER(FIND("D",UPPER(AI28)))),AI4,AI4/2)))+IF(UPPER(AJ28)=UPPER(AJ5),AJ4,0)+IF(UPPER(AK28)=UPPER(AK5),AK4,0)+IF(UPPER(AL28)=UPPER(AL5),AL4,0)+IF(UPPER(AM28)=UPPER(AM5),AM4,0)+IF(AN28="",0,IF(LEN(SUBSTITUTE(SUBSTITUTE(UPPER(AN28),"B",""),"C",""))&gt;0,0,IF(AND(ISNUMBER(FIND("B",UPPER(AN28))),ISNUMBER(FIND("C",UPPER(AN28)))),AN4,AN4/2)))+IF(UPPER(AO28)=UPPER(AO5),AO4,0)+IF(UPPER(AP28)=UPPER(AP5),AP4,0)+IF(UPPER(AQ28)=UPPER(AQ5),AQ4,0)+IF(AR28="",0,IF(LEN(SUBSTITUTE(SUBSTITUTE(UPPER(AR28),"B",""),"C",""))&gt;0,0,IF(AND(ISNUMBER(FIND("B",UPPER(AR28))),ISNUMBER(FIND("C",UPPER(AR28)))),AR4,AR4/2)))</f>
        <v>63.75</v>
      </c>
      <c r="E28" s="13" t="s">
        <v>63</v>
      </c>
      <c r="F28" s="13" t="s">
        <v>60</v>
      </c>
      <c r="G28" s="13" t="s">
        <v>64</v>
      </c>
      <c r="H28" s="13" t="s">
        <v>60</v>
      </c>
      <c r="I28" s="13" t="s">
        <v>61</v>
      </c>
      <c r="J28" s="13" t="s">
        <v>61</v>
      </c>
      <c r="K28" s="13" t="s">
        <v>60</v>
      </c>
      <c r="L28" s="13" t="s">
        <v>63</v>
      </c>
      <c r="M28" s="13" t="s">
        <v>63</v>
      </c>
      <c r="N28" s="13" t="s">
        <v>64</v>
      </c>
      <c r="O28" s="13" t="s">
        <v>73</v>
      </c>
      <c r="P28" s="13" t="s">
        <v>61</v>
      </c>
      <c r="Q28" s="13" t="s">
        <v>60</v>
      </c>
      <c r="R28" s="13" t="s">
        <v>61</v>
      </c>
      <c r="S28" s="13" t="s">
        <v>64</v>
      </c>
      <c r="T28" s="13" t="s">
        <v>63</v>
      </c>
      <c r="U28" s="13" t="s">
        <v>64</v>
      </c>
      <c r="V28" s="13" t="s">
        <v>64</v>
      </c>
      <c r="W28" s="13" t="s">
        <v>63</v>
      </c>
      <c r="X28" s="13" t="s">
        <v>64</v>
      </c>
      <c r="Y28" s="13" t="s">
        <v>60</v>
      </c>
      <c r="Z28" s="13" t="s">
        <v>60</v>
      </c>
      <c r="AA28" s="13" t="s">
        <v>74</v>
      </c>
      <c r="AB28" s="13" t="s">
        <v>74</v>
      </c>
      <c r="AC28" s="13" t="s">
        <v>61</v>
      </c>
      <c r="AD28" s="13" t="s">
        <v>64</v>
      </c>
      <c r="AE28" s="13" t="s">
        <v>61</v>
      </c>
      <c r="AF28" s="13" t="s">
        <v>60</v>
      </c>
      <c r="AG28" s="13" t="s">
        <v>64</v>
      </c>
      <c r="AH28" s="13" t="s">
        <v>61</v>
      </c>
      <c r="AI28" s="13" t="s">
        <v>74</v>
      </c>
      <c r="AJ28" s="13" t="s">
        <v>64</v>
      </c>
      <c r="AK28" s="13" t="s">
        <v>61</v>
      </c>
      <c r="AL28" s="13" t="s">
        <v>60</v>
      </c>
      <c r="AM28" s="13" t="s">
        <v>63</v>
      </c>
      <c r="AN28" s="13" t="s">
        <v>73</v>
      </c>
      <c r="AO28" s="13" t="s">
        <v>61</v>
      </c>
      <c r="AP28" s="13" t="s">
        <v>64</v>
      </c>
      <c r="AQ28" s="13" t="s">
        <v>60</v>
      </c>
      <c r="AR28" s="13" t="s">
        <v>67</v>
      </c>
    </row>
    <row r="29" ht="15.75" customHeight="1">
      <c r="A29" s="10">
        <v>2.023900904E9</v>
      </c>
      <c r="B29" s="10" t="s">
        <v>215</v>
      </c>
      <c r="C29" s="10" t="s">
        <v>216</v>
      </c>
      <c r="D29" s="12">
        <f>IF(UPPER(E29)=UPPER(E5),E4,0)+IF(UPPER(F29)=UPPER(F5),F4,0)+IF(G29="",0,IF(LEN(SUBSTITUTE(SUBSTITUTE(UPPER(G29),"A",""),"D",""))&gt;0,0,IF(AND(ISNUMBER(FIND("A",UPPER(G29))),ISNUMBER(FIND("D",UPPER(G29)))),G4,G4/2)))+IF(UPPER(H29)=UPPER(H5),H4,0)+IF(UPPER(I29)=UPPER(I5),I4,0)+IF(UPPER(J29)=UPPER(J5),J4,0)+IF(K29="",0,IF(LEN(SUBSTITUTE(SUBSTITUTE(UPPER(K29),"B",""),"D",""))&gt;0,0,IF(AND(ISNUMBER(FIND("B",UPPER(K29))),ISNUMBER(FIND("D",UPPER(K29)))),K4,K4/2)))+IF(UPPER(L29)=UPPER(L5),L4,0)+IF(UPPER(M29)=UPPER(M5),M4,0)+IF(UPPER(N29)=UPPER(N5),N4,0)+IF(O29="",0,IF(LEN(SUBSTITUTE(SUBSTITUTE(UPPER(O29),"B",""),"C",""))&gt;0,0,IF(AND(ISNUMBER(FIND("B",UPPER(O29))),ISNUMBER(FIND("C",UPPER(O29)))),O4,O4/2)))+IF(UPPER(P29)=UPPER(P5),P4,0)+IF(UPPER(Q29)=UPPER(Q5),Q4,0)+IF(UPPER(R29)=UPPER(R5),R4,0)+IF(UPPER(S29)=UPPER(S5),S4,0)+IF(UPPER(T29)=UPPER(T5),T4,0)+IF(U29="",0,IF(LEN(SUBSTITUTE(SUBSTITUTE(UPPER(U29),"B",""),"D",""))&gt;0,0,IF(AND(ISNUMBER(FIND("B",UPPER(U29))),ISNUMBER(FIND("D",UPPER(U29)))),U4,U4/2)))+IF(V29="",0,IF(LEN(SUBSTITUTE(SUBSTITUTE(UPPER(V29),"A",""),"B",""))&gt;0,0,IF(AND(ISNUMBER(FIND("A",UPPER(V29))),ISNUMBER(FIND("B",UPPER(V29)))),V4,V4/2)))+IF(UPPER(W29)=UPPER(W5),W4,0)+IF(UPPER(X29)=UPPER(X5),X4,0)+IF(UPPER(Y29)=UPPER(Y5),Y4,0)+IF(UPPER(Z29)=UPPER(Z5),Z4,0)+IF(AA29="",0,IF(LEN(SUBSTITUTE(SUBSTITUTE(UPPER(AA29),"B",""),"D",""))&gt;0,0,IF(AND(ISNUMBER(FIND("B",UPPER(AA29))),ISNUMBER(FIND("D",UPPER(AA29)))),AA4,AA4/2)))+IF(AB29="",0,IF(LEN(SUBSTITUTE(SUBSTITUTE(UPPER(AB29),"B",""),"C",""))&gt;0,0,IF(AND(ISNUMBER(FIND("B",UPPER(AB29))),ISNUMBER(FIND("C",UPPER(AB29)))),AB4,AB4/2)))+IF(UPPER(AC29)=UPPER(AC5),AC4,0)+IF(UPPER(AD29)=UPPER(AD5),AD4,0)+IF(UPPER(AE29)=UPPER(AE5),AE4,0)+IF(UPPER(AF29)=UPPER(AF5),AF4,0)+IF(UPPER(AG29)=UPPER(AG5),AG4,0)+IF(UPPER(AH29)=UPPER(AH5),AH4,0)+IF(AI29="",0,IF(LEN(SUBSTITUTE(SUBSTITUTE(UPPER(AI29),"B",""),"D",""))&gt;0,0,IF(AND(ISNUMBER(FIND("B",UPPER(AI29))),ISNUMBER(FIND("D",UPPER(AI29)))),AI4,AI4/2)))+IF(UPPER(AJ29)=UPPER(AJ5),AJ4,0)+IF(UPPER(AK29)=UPPER(AK5),AK4,0)+IF(UPPER(AL29)=UPPER(AL5),AL4,0)+IF(UPPER(AM29)=UPPER(AM5),AM4,0)+IF(AN29="",0,IF(LEN(SUBSTITUTE(SUBSTITUTE(UPPER(AN29),"B",""),"C",""))&gt;0,0,IF(AND(ISNUMBER(FIND("B",UPPER(AN29))),ISNUMBER(FIND("C",UPPER(AN29)))),AN4,AN4/2)))+IF(UPPER(AO29)=UPPER(AO5),AO4,0)+IF(UPPER(AP29)=UPPER(AP5),AP4,0)+IF(UPPER(AQ29)=UPPER(AQ5),AQ4,0)+IF(AR29="",0,IF(LEN(SUBSTITUTE(SUBSTITUTE(UPPER(AR29),"B",""),"C",""))&gt;0,0,IF(AND(ISNUMBER(FIND("B",UPPER(AR29))),ISNUMBER(FIND("C",UPPER(AR29)))),AR4,AR4/2)))</f>
        <v>67.5</v>
      </c>
      <c r="E29" s="13" t="s">
        <v>63</v>
      </c>
      <c r="F29" s="13" t="s">
        <v>60</v>
      </c>
      <c r="G29" s="13" t="s">
        <v>67</v>
      </c>
      <c r="H29" s="13" t="s">
        <v>61</v>
      </c>
      <c r="I29" s="13" t="s">
        <v>60</v>
      </c>
      <c r="J29" s="13" t="s">
        <v>61</v>
      </c>
      <c r="K29" s="13" t="s">
        <v>74</v>
      </c>
      <c r="L29" s="13" t="s">
        <v>63</v>
      </c>
      <c r="M29" s="13" t="s">
        <v>61</v>
      </c>
      <c r="N29" s="13" t="s">
        <v>64</v>
      </c>
      <c r="O29" s="13" t="s">
        <v>73</v>
      </c>
      <c r="P29" s="13" t="s">
        <v>61</v>
      </c>
      <c r="Q29" s="13" t="s">
        <v>60</v>
      </c>
      <c r="R29" s="13" t="s">
        <v>61</v>
      </c>
      <c r="S29" s="13" t="s">
        <v>60</v>
      </c>
      <c r="T29" s="13" t="s">
        <v>63</v>
      </c>
      <c r="U29" s="13" t="s">
        <v>179</v>
      </c>
      <c r="V29" s="13" t="s">
        <v>62</v>
      </c>
      <c r="W29" s="13" t="s">
        <v>63</v>
      </c>
      <c r="X29" s="13" t="s">
        <v>63</v>
      </c>
      <c r="Y29" s="13" t="s">
        <v>60</v>
      </c>
      <c r="Z29" s="13" t="s">
        <v>60</v>
      </c>
      <c r="AA29" s="13" t="s">
        <v>179</v>
      </c>
      <c r="AB29" s="13" t="s">
        <v>73</v>
      </c>
      <c r="AC29" s="13" t="s">
        <v>63</v>
      </c>
      <c r="AD29" s="13" t="s">
        <v>64</v>
      </c>
      <c r="AE29" s="13" t="s">
        <v>60</v>
      </c>
      <c r="AF29" s="13" t="s">
        <v>60</v>
      </c>
      <c r="AG29" s="13" t="s">
        <v>64</v>
      </c>
      <c r="AH29" s="13" t="s">
        <v>64</v>
      </c>
      <c r="AI29" s="13" t="s">
        <v>74</v>
      </c>
      <c r="AJ29" s="13" t="s">
        <v>64</v>
      </c>
      <c r="AK29" s="13" t="s">
        <v>63</v>
      </c>
      <c r="AL29" s="13" t="s">
        <v>64</v>
      </c>
      <c r="AM29" s="13" t="s">
        <v>63</v>
      </c>
      <c r="AN29" s="13" t="s">
        <v>73</v>
      </c>
      <c r="AO29" s="13" t="s">
        <v>63</v>
      </c>
      <c r="AP29" s="13" t="s">
        <v>63</v>
      </c>
      <c r="AQ29" s="13" t="s">
        <v>64</v>
      </c>
      <c r="AR29" s="13" t="s">
        <v>73</v>
      </c>
    </row>
    <row r="30" ht="15.75" customHeight="1">
      <c r="A30" s="10">
        <v>2.023903693E9</v>
      </c>
      <c r="B30" s="10" t="s">
        <v>217</v>
      </c>
      <c r="C30" s="10" t="s">
        <v>218</v>
      </c>
      <c r="D30" s="12">
        <f>IF(UPPER(E30)=UPPER(E5),E4,0)+IF(UPPER(F30)=UPPER(F5),F4,0)+IF(G30="",0,IF(LEN(SUBSTITUTE(SUBSTITUTE(UPPER(G30),"A",""),"D",""))&gt;0,0,IF(AND(ISNUMBER(FIND("A",UPPER(G30))),ISNUMBER(FIND("D",UPPER(G30)))),G4,G4/2)))+IF(UPPER(H30)=UPPER(H5),H4,0)+IF(UPPER(I30)=UPPER(I5),I4,0)+IF(UPPER(J30)=UPPER(J5),J4,0)+IF(K30="",0,IF(LEN(SUBSTITUTE(SUBSTITUTE(UPPER(K30),"B",""),"D",""))&gt;0,0,IF(AND(ISNUMBER(FIND("B",UPPER(K30))),ISNUMBER(FIND("D",UPPER(K30)))),K4,K4/2)))+IF(UPPER(L30)=UPPER(L5),L4,0)+IF(UPPER(M30)=UPPER(M5),M4,0)+IF(UPPER(N30)=UPPER(N5),N4,0)+IF(O30="",0,IF(LEN(SUBSTITUTE(SUBSTITUTE(UPPER(O30),"B",""),"C",""))&gt;0,0,IF(AND(ISNUMBER(FIND("B",UPPER(O30))),ISNUMBER(FIND("C",UPPER(O30)))),O4,O4/2)))+IF(UPPER(P30)=UPPER(P5),P4,0)+IF(UPPER(Q30)=UPPER(Q5),Q4,0)+IF(UPPER(R30)=UPPER(R5),R4,0)+IF(UPPER(S30)=UPPER(S5),S4,0)+IF(UPPER(T30)=UPPER(T5),T4,0)+IF(U30="",0,IF(LEN(SUBSTITUTE(SUBSTITUTE(UPPER(U30),"B",""),"D",""))&gt;0,0,IF(AND(ISNUMBER(FIND("B",UPPER(U30))),ISNUMBER(FIND("D",UPPER(U30)))),U4,U4/2)))+IF(V30="",0,IF(LEN(SUBSTITUTE(SUBSTITUTE(UPPER(V30),"A",""),"B",""))&gt;0,0,IF(AND(ISNUMBER(FIND("A",UPPER(V30))),ISNUMBER(FIND("B",UPPER(V30)))),V4,V4/2)))+IF(UPPER(W30)=UPPER(W5),W4,0)+IF(UPPER(X30)=UPPER(X5),X4,0)+IF(UPPER(Y30)=UPPER(Y5),Y4,0)+IF(UPPER(Z30)=UPPER(Z5),Z4,0)+IF(AA30="",0,IF(LEN(SUBSTITUTE(SUBSTITUTE(UPPER(AA30),"B",""),"D",""))&gt;0,0,IF(AND(ISNUMBER(FIND("B",UPPER(AA30))),ISNUMBER(FIND("D",UPPER(AA30)))),AA4,AA4/2)))+IF(AB30="",0,IF(LEN(SUBSTITUTE(SUBSTITUTE(UPPER(AB30),"B",""),"C",""))&gt;0,0,IF(AND(ISNUMBER(FIND("B",UPPER(AB30))),ISNUMBER(FIND("C",UPPER(AB30)))),AB4,AB4/2)))+IF(UPPER(AC30)=UPPER(AC5),AC4,0)+IF(UPPER(AD30)=UPPER(AD5),AD4,0)+IF(UPPER(AE30)=UPPER(AE5),AE4,0)+IF(UPPER(AF30)=UPPER(AF5),AF4,0)+IF(UPPER(AG30)=UPPER(AG5),AG4,0)+IF(UPPER(AH30)=UPPER(AH5),AH4,0)+IF(AI30="",0,IF(LEN(SUBSTITUTE(SUBSTITUTE(UPPER(AI30),"B",""),"D",""))&gt;0,0,IF(AND(ISNUMBER(FIND("B",UPPER(AI30))),ISNUMBER(FIND("D",UPPER(AI30)))),AI4,AI4/2)))+IF(UPPER(AJ30)=UPPER(AJ5),AJ4,0)+IF(UPPER(AK30)=UPPER(AK5),AK4,0)+IF(UPPER(AL30)=UPPER(AL5),AL4,0)+IF(UPPER(AM30)=UPPER(AM5),AM4,0)+IF(AN30="",0,IF(LEN(SUBSTITUTE(SUBSTITUTE(UPPER(AN30),"B",""),"C",""))&gt;0,0,IF(AND(ISNUMBER(FIND("B",UPPER(AN30))),ISNUMBER(FIND("C",UPPER(AN30)))),AN4,AN4/2)))+IF(UPPER(AO30)=UPPER(AO5),AO4,0)+IF(UPPER(AP30)=UPPER(AP5),AP4,0)+IF(UPPER(AQ30)=UPPER(AQ5),AQ4,0)+IF(AR30="",0,IF(LEN(SUBSTITUTE(SUBSTITUTE(UPPER(AR30),"B",""),"C",""))&gt;0,0,IF(AND(ISNUMBER(FIND("B",UPPER(AR30))),ISNUMBER(FIND("C",UPPER(AR30)))),AR4,AR4/2)))</f>
        <v>65</v>
      </c>
      <c r="E30" s="13" t="s">
        <v>63</v>
      </c>
      <c r="F30" s="13" t="s">
        <v>60</v>
      </c>
      <c r="G30" s="13" t="s">
        <v>67</v>
      </c>
      <c r="H30" s="13" t="s">
        <v>60</v>
      </c>
      <c r="I30" s="13" t="s">
        <v>60</v>
      </c>
      <c r="J30" s="13" t="s">
        <v>61</v>
      </c>
      <c r="K30" s="13" t="s">
        <v>179</v>
      </c>
      <c r="L30" s="13" t="s">
        <v>63</v>
      </c>
      <c r="M30" s="13" t="s">
        <v>60</v>
      </c>
      <c r="N30" s="13" t="s">
        <v>64</v>
      </c>
      <c r="O30" s="13" t="s">
        <v>62</v>
      </c>
      <c r="P30" s="13" t="s">
        <v>63</v>
      </c>
      <c r="Q30" s="13" t="s">
        <v>60</v>
      </c>
      <c r="R30" s="13" t="s">
        <v>61</v>
      </c>
      <c r="S30" s="13" t="s">
        <v>63</v>
      </c>
      <c r="T30" s="13" t="s">
        <v>61</v>
      </c>
      <c r="U30" s="13" t="s">
        <v>74</v>
      </c>
      <c r="V30" s="13" t="s">
        <v>65</v>
      </c>
      <c r="W30" s="13" t="s">
        <v>63</v>
      </c>
      <c r="X30" s="13" t="s">
        <v>64</v>
      </c>
      <c r="Y30" s="13" t="s">
        <v>64</v>
      </c>
      <c r="Z30" s="13" t="s">
        <v>64</v>
      </c>
      <c r="AA30" s="13" t="s">
        <v>73</v>
      </c>
      <c r="AB30" s="13" t="s">
        <v>74</v>
      </c>
      <c r="AC30" s="13" t="s">
        <v>61</v>
      </c>
      <c r="AD30" s="13" t="s">
        <v>64</v>
      </c>
      <c r="AE30" s="13" t="s">
        <v>60</v>
      </c>
      <c r="AF30" s="13" t="s">
        <v>60</v>
      </c>
      <c r="AG30" s="13" t="s">
        <v>64</v>
      </c>
      <c r="AH30" s="13" t="s">
        <v>64</v>
      </c>
      <c r="AI30" s="13" t="s">
        <v>67</v>
      </c>
      <c r="AJ30" s="13" t="s">
        <v>64</v>
      </c>
      <c r="AK30" s="13" t="s">
        <v>63</v>
      </c>
      <c r="AL30" s="13" t="s">
        <v>64</v>
      </c>
      <c r="AM30" s="13" t="s">
        <v>63</v>
      </c>
      <c r="AN30" s="13" t="s">
        <v>73</v>
      </c>
      <c r="AO30" s="13" t="s">
        <v>60</v>
      </c>
      <c r="AP30" s="13" t="s">
        <v>63</v>
      </c>
      <c r="AQ30" s="13" t="s">
        <v>63</v>
      </c>
      <c r="AR30" s="13" t="s">
        <v>73</v>
      </c>
    </row>
    <row r="31" ht="15.75" customHeight="1">
      <c r="A31" s="10">
        <v>2.023905935E9</v>
      </c>
      <c r="B31" s="10" t="s">
        <v>219</v>
      </c>
      <c r="C31" s="10" t="s">
        <v>220</v>
      </c>
      <c r="D31" s="12">
        <f>IF(UPPER(E31)=UPPER(E5),E4,0)+IF(UPPER(F31)=UPPER(F5),F4,0)+IF(G31="",0,IF(LEN(SUBSTITUTE(SUBSTITUTE(UPPER(G31),"A",""),"D",""))&gt;0,0,IF(AND(ISNUMBER(FIND("A",UPPER(G31))),ISNUMBER(FIND("D",UPPER(G31)))),G4,G4/2)))+IF(UPPER(H31)=UPPER(H5),H4,0)+IF(UPPER(I31)=UPPER(I5),I4,0)+IF(UPPER(J31)=UPPER(J5),J4,0)+IF(K31="",0,IF(LEN(SUBSTITUTE(SUBSTITUTE(UPPER(K31),"B",""),"D",""))&gt;0,0,IF(AND(ISNUMBER(FIND("B",UPPER(K31))),ISNUMBER(FIND("D",UPPER(K31)))),K4,K4/2)))+IF(UPPER(L31)=UPPER(L5),L4,0)+IF(UPPER(M31)=UPPER(M5),M4,0)+IF(UPPER(N31)=UPPER(N5),N4,0)+IF(O31="",0,IF(LEN(SUBSTITUTE(SUBSTITUTE(UPPER(O31),"B",""),"C",""))&gt;0,0,IF(AND(ISNUMBER(FIND("B",UPPER(O31))),ISNUMBER(FIND("C",UPPER(O31)))),O4,O4/2)))+IF(UPPER(P31)=UPPER(P5),P4,0)+IF(UPPER(Q31)=UPPER(Q5),Q4,0)+IF(UPPER(R31)=UPPER(R5),R4,0)+IF(UPPER(S31)=UPPER(S5),S4,0)+IF(UPPER(T31)=UPPER(T5),T4,0)+IF(U31="",0,IF(LEN(SUBSTITUTE(SUBSTITUTE(UPPER(U31),"B",""),"D",""))&gt;0,0,IF(AND(ISNUMBER(FIND("B",UPPER(U31))),ISNUMBER(FIND("D",UPPER(U31)))),U4,U4/2)))+IF(V31="",0,IF(LEN(SUBSTITUTE(SUBSTITUTE(UPPER(V31),"A",""),"B",""))&gt;0,0,IF(AND(ISNUMBER(FIND("A",UPPER(V31))),ISNUMBER(FIND("B",UPPER(V31)))),V4,V4/2)))+IF(UPPER(W31)=UPPER(W5),W4,0)+IF(UPPER(X31)=UPPER(X5),X4,0)+IF(UPPER(Y31)=UPPER(Y5),Y4,0)+IF(UPPER(Z31)=UPPER(Z5),Z4,0)+IF(AA31="",0,IF(LEN(SUBSTITUTE(SUBSTITUTE(UPPER(AA31),"B",""),"D",""))&gt;0,0,IF(AND(ISNUMBER(FIND("B",UPPER(AA31))),ISNUMBER(FIND("D",UPPER(AA31)))),AA4,AA4/2)))+IF(AB31="",0,IF(LEN(SUBSTITUTE(SUBSTITUTE(UPPER(AB31),"B",""),"C",""))&gt;0,0,IF(AND(ISNUMBER(FIND("B",UPPER(AB31))),ISNUMBER(FIND("C",UPPER(AB31)))),AB4,AB4/2)))+IF(UPPER(AC31)=UPPER(AC5),AC4,0)+IF(UPPER(AD31)=UPPER(AD5),AD4,0)+IF(UPPER(AE31)=UPPER(AE5),AE4,0)+IF(UPPER(AF31)=UPPER(AF5),AF4,0)+IF(UPPER(AG31)=UPPER(AG5),AG4,0)+IF(UPPER(AH31)=UPPER(AH5),AH4,0)+IF(AI31="",0,IF(LEN(SUBSTITUTE(SUBSTITUTE(UPPER(AI31),"B",""),"D",""))&gt;0,0,IF(AND(ISNUMBER(FIND("B",UPPER(AI31))),ISNUMBER(FIND("D",UPPER(AI31)))),AI4,AI4/2)))+IF(UPPER(AJ31)=UPPER(AJ5),AJ4,0)+IF(UPPER(AK31)=UPPER(AK5),AK4,0)+IF(UPPER(AL31)=UPPER(AL5),AL4,0)+IF(UPPER(AM31)=UPPER(AM5),AM4,0)+IF(AN31="",0,IF(LEN(SUBSTITUTE(SUBSTITUTE(UPPER(AN31),"B",""),"C",""))&gt;0,0,IF(AND(ISNUMBER(FIND("B",UPPER(AN31))),ISNUMBER(FIND("C",UPPER(AN31)))),AN4,AN4/2)))+IF(UPPER(AO31)=UPPER(AO5),AO4,0)+IF(UPPER(AP31)=UPPER(AP5),AP4,0)+IF(UPPER(AQ31)=UPPER(AQ5),AQ4,0)+IF(AR31="",0,IF(LEN(SUBSTITUTE(SUBSTITUTE(UPPER(AR31),"B",""),"C",""))&gt;0,0,IF(AND(ISNUMBER(FIND("B",UPPER(AR31))),ISNUMBER(FIND("C",UPPER(AR31)))),AR4,AR4/2)))</f>
        <v>46.25</v>
      </c>
      <c r="E31" s="13" t="s">
        <v>63</v>
      </c>
      <c r="F31" s="13" t="s">
        <v>60</v>
      </c>
      <c r="G31" s="13" t="s">
        <v>61</v>
      </c>
      <c r="H31" s="13" t="s">
        <v>60</v>
      </c>
      <c r="I31" s="13" t="s">
        <v>64</v>
      </c>
      <c r="J31" s="13" t="s">
        <v>60</v>
      </c>
      <c r="K31" s="13" t="s">
        <v>221</v>
      </c>
      <c r="L31" s="13" t="s">
        <v>63</v>
      </c>
      <c r="M31" s="13" t="s">
        <v>60</v>
      </c>
      <c r="N31" s="13" t="s">
        <v>64</v>
      </c>
      <c r="O31" s="13" t="s">
        <v>62</v>
      </c>
      <c r="P31" s="13" t="s">
        <v>63</v>
      </c>
      <c r="Q31" s="13" t="s">
        <v>60</v>
      </c>
      <c r="R31" s="13" t="s">
        <v>60</v>
      </c>
      <c r="S31" s="13" t="s">
        <v>64</v>
      </c>
      <c r="T31" s="13" t="s">
        <v>64</v>
      </c>
      <c r="U31" s="13" t="s">
        <v>61</v>
      </c>
      <c r="V31" s="13" t="s">
        <v>60</v>
      </c>
      <c r="W31" s="13" t="s">
        <v>63</v>
      </c>
      <c r="X31" s="13" t="s">
        <v>63</v>
      </c>
      <c r="Y31" s="13" t="s">
        <v>60</v>
      </c>
      <c r="Z31" s="13" t="s">
        <v>139</v>
      </c>
      <c r="AA31" s="13" t="s">
        <v>139</v>
      </c>
      <c r="AB31" s="13" t="s">
        <v>60</v>
      </c>
      <c r="AC31" s="13" t="s">
        <v>61</v>
      </c>
      <c r="AD31" s="13" t="s">
        <v>64</v>
      </c>
      <c r="AE31" s="13" t="s">
        <v>60</v>
      </c>
      <c r="AF31" s="13" t="s">
        <v>64</v>
      </c>
      <c r="AG31" s="13" t="s">
        <v>64</v>
      </c>
      <c r="AH31" s="13" t="s">
        <v>64</v>
      </c>
      <c r="AI31" s="13" t="s">
        <v>60</v>
      </c>
      <c r="AJ31" s="13" t="s">
        <v>64</v>
      </c>
      <c r="AK31" s="13" t="s">
        <v>64</v>
      </c>
      <c r="AL31" s="13" t="s">
        <v>60</v>
      </c>
      <c r="AM31" s="13" t="s">
        <v>60</v>
      </c>
      <c r="AN31" s="13" t="s">
        <v>63</v>
      </c>
      <c r="AO31" s="13" t="s">
        <v>60</v>
      </c>
      <c r="AP31" s="13" t="s">
        <v>64</v>
      </c>
      <c r="AQ31" s="13" t="s">
        <v>63</v>
      </c>
      <c r="AR31" s="13" t="s">
        <v>66</v>
      </c>
    </row>
    <row r="32" ht="15.75" customHeight="1">
      <c r="A32" s="10">
        <v>2.023901702E9</v>
      </c>
      <c r="B32" s="10" t="s">
        <v>222</v>
      </c>
      <c r="C32" s="10" t="s">
        <v>223</v>
      </c>
      <c r="D32" s="12">
        <f>IF(UPPER(E32)=UPPER(E5),E4,0)+IF(UPPER(F32)=UPPER(F5),F4,0)+IF(G32="",0,IF(LEN(SUBSTITUTE(SUBSTITUTE(UPPER(G32),"A",""),"D",""))&gt;0,0,IF(AND(ISNUMBER(FIND("A",UPPER(G32))),ISNUMBER(FIND("D",UPPER(G32)))),G4,G4/2)))+IF(UPPER(H32)=UPPER(H5),H4,0)+IF(UPPER(I32)=UPPER(I5),I4,0)+IF(UPPER(J32)=UPPER(J5),J4,0)+IF(K32="",0,IF(LEN(SUBSTITUTE(SUBSTITUTE(UPPER(K32),"B",""),"D",""))&gt;0,0,IF(AND(ISNUMBER(FIND("B",UPPER(K32))),ISNUMBER(FIND("D",UPPER(K32)))),K4,K4/2)))+IF(UPPER(L32)=UPPER(L5),L4,0)+IF(UPPER(M32)=UPPER(M5),M4,0)+IF(UPPER(N32)=UPPER(N5),N4,0)+IF(O32="",0,IF(LEN(SUBSTITUTE(SUBSTITUTE(UPPER(O32),"B",""),"C",""))&gt;0,0,IF(AND(ISNUMBER(FIND("B",UPPER(O32))),ISNUMBER(FIND("C",UPPER(O32)))),O4,O4/2)))+IF(UPPER(P32)=UPPER(P5),P4,0)+IF(UPPER(Q32)=UPPER(Q5),Q4,0)+IF(UPPER(R32)=UPPER(R5),R4,0)+IF(UPPER(S32)=UPPER(S5),S4,0)+IF(UPPER(T32)=UPPER(T5),T4,0)+IF(U32="",0,IF(LEN(SUBSTITUTE(SUBSTITUTE(UPPER(U32),"B",""),"D",""))&gt;0,0,IF(AND(ISNUMBER(FIND("B",UPPER(U32))),ISNUMBER(FIND("D",UPPER(U32)))),U4,U4/2)))+IF(V32="",0,IF(LEN(SUBSTITUTE(SUBSTITUTE(UPPER(V32),"A",""),"B",""))&gt;0,0,IF(AND(ISNUMBER(FIND("A",UPPER(V32))),ISNUMBER(FIND("B",UPPER(V32)))),V4,V4/2)))+IF(UPPER(W32)=UPPER(W5),W4,0)+IF(UPPER(X32)=UPPER(X5),X4,0)+IF(UPPER(Y32)=UPPER(Y5),Y4,0)+IF(UPPER(Z32)=UPPER(Z5),Z4,0)+IF(AA32="",0,IF(LEN(SUBSTITUTE(SUBSTITUTE(UPPER(AA32),"B",""),"D",""))&gt;0,0,IF(AND(ISNUMBER(FIND("B",UPPER(AA32))),ISNUMBER(FIND("D",UPPER(AA32)))),AA4,AA4/2)))+IF(AB32="",0,IF(LEN(SUBSTITUTE(SUBSTITUTE(UPPER(AB32),"B",""),"C",""))&gt;0,0,IF(AND(ISNUMBER(FIND("B",UPPER(AB32))),ISNUMBER(FIND("C",UPPER(AB32)))),AB4,AB4/2)))+IF(UPPER(AC32)=UPPER(AC5),AC4,0)+IF(UPPER(AD32)=UPPER(AD5),AD4,0)+IF(UPPER(AE32)=UPPER(AE5),AE4,0)+IF(UPPER(AF32)=UPPER(AF5),AF4,0)+IF(UPPER(AG32)=UPPER(AG5),AG4,0)+IF(UPPER(AH32)=UPPER(AH5),AH4,0)+IF(AI32="",0,IF(LEN(SUBSTITUTE(SUBSTITUTE(UPPER(AI32),"B",""),"D",""))&gt;0,0,IF(AND(ISNUMBER(FIND("B",UPPER(AI32))),ISNUMBER(FIND("D",UPPER(AI32)))),AI4,AI4/2)))+IF(UPPER(AJ32)=UPPER(AJ5),AJ4,0)+IF(UPPER(AK32)=UPPER(AK5),AK4,0)+IF(UPPER(AL32)=UPPER(AL5),AL4,0)+IF(UPPER(AM32)=UPPER(AM5),AM4,0)+IF(AN32="",0,IF(LEN(SUBSTITUTE(SUBSTITUTE(UPPER(AN32),"B",""),"C",""))&gt;0,0,IF(AND(ISNUMBER(FIND("B",UPPER(AN32))),ISNUMBER(FIND("C",UPPER(AN32)))),AN4,AN4/2)))+IF(UPPER(AO32)=UPPER(AO5),AO4,0)+IF(UPPER(AP32)=UPPER(AP5),AP4,0)+IF(UPPER(AQ32)=UPPER(AQ5),AQ4,0)+IF(AR32="",0,IF(LEN(SUBSTITUTE(SUBSTITUTE(UPPER(AR32),"B",""),"C",""))&gt;0,0,IF(AND(ISNUMBER(FIND("B",UPPER(AR32))),ISNUMBER(FIND("C",UPPER(AR32)))),AR4,AR4/2)))</f>
        <v>80</v>
      </c>
      <c r="E32" s="13" t="s">
        <v>64</v>
      </c>
      <c r="F32" s="13" t="s">
        <v>60</v>
      </c>
      <c r="G32" s="13" t="s">
        <v>67</v>
      </c>
      <c r="H32" s="13" t="s">
        <v>60</v>
      </c>
      <c r="I32" s="13" t="s">
        <v>64</v>
      </c>
      <c r="J32" s="13" t="s">
        <v>61</v>
      </c>
      <c r="K32" s="13" t="s">
        <v>74</v>
      </c>
      <c r="L32" s="13" t="s">
        <v>63</v>
      </c>
      <c r="M32" s="13" t="s">
        <v>63</v>
      </c>
      <c r="N32" s="13" t="s">
        <v>64</v>
      </c>
      <c r="O32" s="13" t="s">
        <v>73</v>
      </c>
      <c r="P32" s="13" t="s">
        <v>61</v>
      </c>
      <c r="Q32" s="13" t="s">
        <v>60</v>
      </c>
      <c r="R32" s="13" t="s">
        <v>61</v>
      </c>
      <c r="S32" s="13" t="s">
        <v>64</v>
      </c>
      <c r="T32" s="13" t="s">
        <v>63</v>
      </c>
      <c r="U32" s="13" t="s">
        <v>74</v>
      </c>
      <c r="V32" s="13" t="s">
        <v>74</v>
      </c>
      <c r="W32" s="13" t="s">
        <v>63</v>
      </c>
      <c r="X32" s="13" t="s">
        <v>64</v>
      </c>
      <c r="Y32" s="13" t="s">
        <v>61</v>
      </c>
      <c r="Z32" s="13" t="s">
        <v>61</v>
      </c>
      <c r="AA32" s="13" t="s">
        <v>74</v>
      </c>
      <c r="AB32" s="13" t="s">
        <v>73</v>
      </c>
      <c r="AC32" s="13" t="s">
        <v>61</v>
      </c>
      <c r="AD32" s="13" t="s">
        <v>64</v>
      </c>
      <c r="AE32" s="13" t="s">
        <v>61</v>
      </c>
      <c r="AF32" s="13" t="s">
        <v>60</v>
      </c>
      <c r="AG32" s="13" t="s">
        <v>64</v>
      </c>
      <c r="AH32" s="13" t="s">
        <v>64</v>
      </c>
      <c r="AI32" s="13" t="s">
        <v>74</v>
      </c>
      <c r="AJ32" s="13" t="s">
        <v>63</v>
      </c>
      <c r="AK32" s="13" t="s">
        <v>63</v>
      </c>
      <c r="AL32" s="13" t="s">
        <v>64</v>
      </c>
      <c r="AM32" s="13" t="s">
        <v>63</v>
      </c>
      <c r="AN32" s="13" t="s">
        <v>73</v>
      </c>
      <c r="AO32" s="13" t="s">
        <v>61</v>
      </c>
      <c r="AP32" s="13" t="s">
        <v>63</v>
      </c>
      <c r="AQ32" s="13" t="s">
        <v>60</v>
      </c>
      <c r="AR32" s="13" t="s">
        <v>73</v>
      </c>
    </row>
    <row r="33" ht="15.75" customHeight="1">
      <c r="A33" s="10">
        <v>2.023905318E9</v>
      </c>
      <c r="B33" s="10" t="s">
        <v>224</v>
      </c>
      <c r="C33" s="10" t="s">
        <v>225</v>
      </c>
      <c r="D33" s="12">
        <f>IF(UPPER(E33)=UPPER(E5),E4,0)+IF(UPPER(F33)=UPPER(F5),F4,0)+IF(G33="",0,IF(LEN(SUBSTITUTE(SUBSTITUTE(UPPER(G33),"A",""),"D",""))&gt;0,0,IF(AND(ISNUMBER(FIND("A",UPPER(G33))),ISNUMBER(FIND("D",UPPER(G33)))),G4,G4/2)))+IF(UPPER(H33)=UPPER(H5),H4,0)+IF(UPPER(I33)=UPPER(I5),I4,0)+IF(UPPER(J33)=UPPER(J5),J4,0)+IF(K33="",0,IF(LEN(SUBSTITUTE(SUBSTITUTE(UPPER(K33),"B",""),"D",""))&gt;0,0,IF(AND(ISNUMBER(FIND("B",UPPER(K33))),ISNUMBER(FIND("D",UPPER(K33)))),K4,K4/2)))+IF(UPPER(L33)=UPPER(L5),L4,0)+IF(UPPER(M33)=UPPER(M5),M4,0)+IF(UPPER(N33)=UPPER(N5),N4,0)+IF(O33="",0,IF(LEN(SUBSTITUTE(SUBSTITUTE(UPPER(O33),"B",""),"C",""))&gt;0,0,IF(AND(ISNUMBER(FIND("B",UPPER(O33))),ISNUMBER(FIND("C",UPPER(O33)))),O4,O4/2)))+IF(UPPER(P33)=UPPER(P5),P4,0)+IF(UPPER(Q33)=UPPER(Q5),Q4,0)+IF(UPPER(R33)=UPPER(R5),R4,0)+IF(UPPER(S33)=UPPER(S5),S4,0)+IF(UPPER(T33)=UPPER(T5),T4,0)+IF(U33="",0,IF(LEN(SUBSTITUTE(SUBSTITUTE(UPPER(U33),"B",""),"D",""))&gt;0,0,IF(AND(ISNUMBER(FIND("B",UPPER(U33))),ISNUMBER(FIND("D",UPPER(U33)))),U4,U4/2)))+IF(V33="",0,IF(LEN(SUBSTITUTE(SUBSTITUTE(UPPER(V33),"A",""),"B",""))&gt;0,0,IF(AND(ISNUMBER(FIND("A",UPPER(V33))),ISNUMBER(FIND("B",UPPER(V33)))),V4,V4/2)))+IF(UPPER(W33)=UPPER(W5),W4,0)+IF(UPPER(X33)=UPPER(X5),X4,0)+IF(UPPER(Y33)=UPPER(Y5),Y4,0)+IF(UPPER(Z33)=UPPER(Z5),Z4,0)+IF(AA33="",0,IF(LEN(SUBSTITUTE(SUBSTITUTE(UPPER(AA33),"B",""),"D",""))&gt;0,0,IF(AND(ISNUMBER(FIND("B",UPPER(AA33))),ISNUMBER(FIND("D",UPPER(AA33)))),AA4,AA4/2)))+IF(AB33="",0,IF(LEN(SUBSTITUTE(SUBSTITUTE(UPPER(AB33),"B",""),"C",""))&gt;0,0,IF(AND(ISNUMBER(FIND("B",UPPER(AB33))),ISNUMBER(FIND("C",UPPER(AB33)))),AB4,AB4/2)))+IF(UPPER(AC33)=UPPER(AC5),AC4,0)+IF(UPPER(AD33)=UPPER(AD5),AD4,0)+IF(UPPER(AE33)=UPPER(AE5),AE4,0)+IF(UPPER(AF33)=UPPER(AF5),AF4,0)+IF(UPPER(AG33)=UPPER(AG5),AG4,0)+IF(UPPER(AH33)=UPPER(AH5),AH4,0)+IF(AI33="",0,IF(LEN(SUBSTITUTE(SUBSTITUTE(UPPER(AI33),"B",""),"D",""))&gt;0,0,IF(AND(ISNUMBER(FIND("B",UPPER(AI33))),ISNUMBER(FIND("D",UPPER(AI33)))),AI4,AI4/2)))+IF(UPPER(AJ33)=UPPER(AJ5),AJ4,0)+IF(UPPER(AK33)=UPPER(AK5),AK4,0)+IF(UPPER(AL33)=UPPER(AL5),AL4,0)+IF(UPPER(AM33)=UPPER(AM5),AM4,0)+IF(AN33="",0,IF(LEN(SUBSTITUTE(SUBSTITUTE(UPPER(AN33),"B",""),"C",""))&gt;0,0,IF(AND(ISNUMBER(FIND("B",UPPER(AN33))),ISNUMBER(FIND("C",UPPER(AN33)))),AN4,AN4/2)))+IF(UPPER(AO33)=UPPER(AO5),AO4,0)+IF(UPPER(AP33)=UPPER(AP5),AP4,0)+IF(UPPER(AQ33)=UPPER(AQ5),AQ4,0)+IF(AR33="",0,IF(LEN(SUBSTITUTE(SUBSTITUTE(UPPER(AR33),"B",""),"C",""))&gt;0,0,IF(AND(ISNUMBER(FIND("B",UPPER(AR33))),ISNUMBER(FIND("C",UPPER(AR33)))),AR4,AR4/2)))</f>
        <v>73.75</v>
      </c>
      <c r="E33" s="13" t="s">
        <v>63</v>
      </c>
      <c r="F33" s="13" t="s">
        <v>60</v>
      </c>
      <c r="G33" s="13" t="s">
        <v>67</v>
      </c>
      <c r="H33" s="13" t="s">
        <v>60</v>
      </c>
      <c r="I33" s="13" t="s">
        <v>64</v>
      </c>
      <c r="J33" s="13" t="s">
        <v>60</v>
      </c>
      <c r="K33" s="13" t="s">
        <v>74</v>
      </c>
      <c r="L33" s="13" t="s">
        <v>63</v>
      </c>
      <c r="M33" s="13" t="s">
        <v>60</v>
      </c>
      <c r="N33" s="13" t="s">
        <v>64</v>
      </c>
      <c r="O33" s="13" t="s">
        <v>73</v>
      </c>
      <c r="P33" s="13" t="s">
        <v>63</v>
      </c>
      <c r="Q33" s="13" t="s">
        <v>60</v>
      </c>
      <c r="R33" s="13" t="s">
        <v>64</v>
      </c>
      <c r="S33" s="13" t="s">
        <v>64</v>
      </c>
      <c r="T33" s="13" t="s">
        <v>64</v>
      </c>
      <c r="U33" s="13" t="s">
        <v>74</v>
      </c>
      <c r="V33" s="13" t="s">
        <v>61</v>
      </c>
      <c r="W33" s="13" t="s">
        <v>63</v>
      </c>
      <c r="X33" s="13" t="s">
        <v>63</v>
      </c>
      <c r="Y33" s="13" t="s">
        <v>61</v>
      </c>
      <c r="Z33" s="13" t="s">
        <v>60</v>
      </c>
      <c r="AA33" s="13" t="s">
        <v>125</v>
      </c>
      <c r="AB33" s="13" t="s">
        <v>73</v>
      </c>
      <c r="AC33" s="13" t="s">
        <v>61</v>
      </c>
      <c r="AD33" s="13" t="s">
        <v>64</v>
      </c>
      <c r="AE33" s="13" t="s">
        <v>60</v>
      </c>
      <c r="AF33" s="13" t="s">
        <v>60</v>
      </c>
      <c r="AG33" s="13" t="s">
        <v>64</v>
      </c>
      <c r="AH33" s="13" t="s">
        <v>64</v>
      </c>
      <c r="AI33" s="13" t="s">
        <v>74</v>
      </c>
      <c r="AJ33" s="13" t="s">
        <v>64</v>
      </c>
      <c r="AK33" s="13" t="s">
        <v>63</v>
      </c>
      <c r="AL33" s="13" t="s">
        <v>64</v>
      </c>
      <c r="AM33" s="13" t="s">
        <v>63</v>
      </c>
      <c r="AN33" s="13" t="s">
        <v>73</v>
      </c>
      <c r="AO33" s="13" t="s">
        <v>60</v>
      </c>
      <c r="AP33" s="13" t="s">
        <v>64</v>
      </c>
      <c r="AQ33" s="13" t="s">
        <v>63</v>
      </c>
      <c r="AR33" s="13" t="s">
        <v>73</v>
      </c>
    </row>
    <row r="34" ht="15.75" customHeight="1">
      <c r="A34" s="10">
        <v>2.023900903E9</v>
      </c>
      <c r="B34" s="10" t="s">
        <v>226</v>
      </c>
      <c r="C34" s="10" t="s">
        <v>227</v>
      </c>
      <c r="D34" s="12">
        <f>IF(UPPER(E34)=UPPER(E5),E4,0)+IF(UPPER(F34)=UPPER(F5),F4,0)+IF(G34="",0,IF(LEN(SUBSTITUTE(SUBSTITUTE(UPPER(G34),"A",""),"D",""))&gt;0,0,IF(AND(ISNUMBER(FIND("A",UPPER(G34))),ISNUMBER(FIND("D",UPPER(G34)))),G4,G4/2)))+IF(UPPER(H34)=UPPER(H5),H4,0)+IF(UPPER(I34)=UPPER(I5),I4,0)+IF(UPPER(J34)=UPPER(J5),J4,0)+IF(K34="",0,IF(LEN(SUBSTITUTE(SUBSTITUTE(UPPER(K34),"B",""),"D",""))&gt;0,0,IF(AND(ISNUMBER(FIND("B",UPPER(K34))),ISNUMBER(FIND("D",UPPER(K34)))),K4,K4/2)))+IF(UPPER(L34)=UPPER(L5),L4,0)+IF(UPPER(M34)=UPPER(M5),M4,0)+IF(UPPER(N34)=UPPER(N5),N4,0)+IF(O34="",0,IF(LEN(SUBSTITUTE(SUBSTITUTE(UPPER(O34),"B",""),"C",""))&gt;0,0,IF(AND(ISNUMBER(FIND("B",UPPER(O34))),ISNUMBER(FIND("C",UPPER(O34)))),O4,O4/2)))+IF(UPPER(P34)=UPPER(P5),P4,0)+IF(UPPER(Q34)=UPPER(Q5),Q4,0)+IF(UPPER(R34)=UPPER(R5),R4,0)+IF(UPPER(S34)=UPPER(S5),S4,0)+IF(UPPER(T34)=UPPER(T5),T4,0)+IF(U34="",0,IF(LEN(SUBSTITUTE(SUBSTITUTE(UPPER(U34),"B",""),"D",""))&gt;0,0,IF(AND(ISNUMBER(FIND("B",UPPER(U34))),ISNUMBER(FIND("D",UPPER(U34)))),U4,U4/2)))+IF(V34="",0,IF(LEN(SUBSTITUTE(SUBSTITUTE(UPPER(V34),"A",""),"B",""))&gt;0,0,IF(AND(ISNUMBER(FIND("A",UPPER(V34))),ISNUMBER(FIND("B",UPPER(V34)))),V4,V4/2)))+IF(UPPER(W34)=UPPER(W5),W4,0)+IF(UPPER(X34)=UPPER(X5),X4,0)+IF(UPPER(Y34)=UPPER(Y5),Y4,0)+IF(UPPER(Z34)=UPPER(Z5),Z4,0)+IF(AA34="",0,IF(LEN(SUBSTITUTE(SUBSTITUTE(UPPER(AA34),"B",""),"D",""))&gt;0,0,IF(AND(ISNUMBER(FIND("B",UPPER(AA34))),ISNUMBER(FIND("D",UPPER(AA34)))),AA4,AA4/2)))+IF(AB34="",0,IF(LEN(SUBSTITUTE(SUBSTITUTE(UPPER(AB34),"B",""),"C",""))&gt;0,0,IF(AND(ISNUMBER(FIND("B",UPPER(AB34))),ISNUMBER(FIND("C",UPPER(AB34)))),AB4,AB4/2)))+IF(UPPER(AC34)=UPPER(AC5),AC4,0)+IF(UPPER(AD34)=UPPER(AD5),AD4,0)+IF(UPPER(AE34)=UPPER(AE5),AE4,0)+IF(UPPER(AF34)=UPPER(AF5),AF4,0)+IF(UPPER(AG34)=UPPER(AG5),AG4,0)+IF(UPPER(AH34)=UPPER(AH5),AH4,0)+IF(AI34="",0,IF(LEN(SUBSTITUTE(SUBSTITUTE(UPPER(AI34),"B",""),"D",""))&gt;0,0,IF(AND(ISNUMBER(FIND("B",UPPER(AI34))),ISNUMBER(FIND("D",UPPER(AI34)))),AI4,AI4/2)))+IF(UPPER(AJ34)=UPPER(AJ5),AJ4,0)+IF(UPPER(AK34)=UPPER(AK5),AK4,0)+IF(UPPER(AL34)=UPPER(AL5),AL4,0)+IF(UPPER(AM34)=UPPER(AM5),AM4,0)+IF(AN34="",0,IF(LEN(SUBSTITUTE(SUBSTITUTE(UPPER(AN34),"B",""),"C",""))&gt;0,0,IF(AND(ISNUMBER(FIND("B",UPPER(AN34))),ISNUMBER(FIND("C",UPPER(AN34)))),AN4,AN4/2)))+IF(UPPER(AO34)=UPPER(AO5),AO4,0)+IF(UPPER(AP34)=UPPER(AP5),AP4,0)+IF(UPPER(AQ34)=UPPER(AQ5),AQ4,0)+IF(AR34="",0,IF(LEN(SUBSTITUTE(SUBSTITUTE(UPPER(AR34),"B",""),"C",""))&gt;0,0,IF(AND(ISNUMBER(FIND("B",UPPER(AR34))),ISNUMBER(FIND("C",UPPER(AR34)))),AR4,AR4/2)))</f>
        <v>67.5</v>
      </c>
      <c r="E34" s="13" t="s">
        <v>63</v>
      </c>
      <c r="F34" s="13" t="s">
        <v>60</v>
      </c>
      <c r="G34" s="13" t="s">
        <v>66</v>
      </c>
      <c r="H34" s="13" t="s">
        <v>63</v>
      </c>
      <c r="I34" s="13" t="s">
        <v>60</v>
      </c>
      <c r="J34" s="13" t="s">
        <v>61</v>
      </c>
      <c r="K34" s="13" t="s">
        <v>74</v>
      </c>
      <c r="L34" s="13" t="s">
        <v>63</v>
      </c>
      <c r="M34" s="13" t="s">
        <v>64</v>
      </c>
      <c r="N34" s="13" t="s">
        <v>64</v>
      </c>
      <c r="O34" s="13" t="s">
        <v>73</v>
      </c>
      <c r="P34" s="13" t="s">
        <v>61</v>
      </c>
      <c r="Q34" s="13" t="s">
        <v>60</v>
      </c>
      <c r="R34" s="13" t="s">
        <v>61</v>
      </c>
      <c r="S34" s="13" t="s">
        <v>64</v>
      </c>
      <c r="T34" s="13" t="s">
        <v>63</v>
      </c>
      <c r="U34" s="13" t="s">
        <v>74</v>
      </c>
      <c r="V34" s="13" t="s">
        <v>66</v>
      </c>
      <c r="W34" s="13" t="s">
        <v>63</v>
      </c>
      <c r="X34" s="13" t="s">
        <v>60</v>
      </c>
      <c r="Y34" s="13" t="s">
        <v>60</v>
      </c>
      <c r="Z34" s="13" t="s">
        <v>61</v>
      </c>
      <c r="AA34" s="13" t="s">
        <v>125</v>
      </c>
      <c r="AB34" s="13" t="s">
        <v>74</v>
      </c>
      <c r="AC34" s="13" t="s">
        <v>61</v>
      </c>
      <c r="AD34" s="13" t="s">
        <v>64</v>
      </c>
      <c r="AE34" s="13" t="s">
        <v>60</v>
      </c>
      <c r="AF34" s="13" t="s">
        <v>64</v>
      </c>
      <c r="AG34" s="13" t="s">
        <v>61</v>
      </c>
      <c r="AH34" s="13" t="s">
        <v>64</v>
      </c>
      <c r="AI34" s="13" t="s">
        <v>73</v>
      </c>
      <c r="AJ34" s="13" t="s">
        <v>60</v>
      </c>
      <c r="AK34" s="13" t="s">
        <v>61</v>
      </c>
      <c r="AL34" s="13" t="s">
        <v>64</v>
      </c>
      <c r="AM34" s="13" t="s">
        <v>63</v>
      </c>
      <c r="AN34" s="13" t="s">
        <v>73</v>
      </c>
      <c r="AO34" s="13" t="s">
        <v>61</v>
      </c>
      <c r="AP34" s="13" t="s">
        <v>63</v>
      </c>
      <c r="AQ34" s="13" t="s">
        <v>63</v>
      </c>
      <c r="AR34" s="13" t="s">
        <v>73</v>
      </c>
    </row>
    <row r="35" ht="15.75" customHeight="1">
      <c r="A35" s="10">
        <v>2.023905937E9</v>
      </c>
      <c r="B35" s="10" t="s">
        <v>228</v>
      </c>
      <c r="C35" s="10" t="s">
        <v>229</v>
      </c>
      <c r="D35" s="12">
        <f>IF(UPPER(E35)=UPPER(E5),E4,0)+IF(UPPER(F35)=UPPER(F5),F4,0)+IF(G35="",0,IF(LEN(SUBSTITUTE(SUBSTITUTE(UPPER(G35),"A",""),"D",""))&gt;0,0,IF(AND(ISNUMBER(FIND("A",UPPER(G35))),ISNUMBER(FIND("D",UPPER(G35)))),G4,G4/2)))+IF(UPPER(H35)=UPPER(H5),H4,0)+IF(UPPER(I35)=UPPER(I5),I4,0)+IF(UPPER(J35)=UPPER(J5),J4,0)+IF(K35="",0,IF(LEN(SUBSTITUTE(SUBSTITUTE(UPPER(K35),"B",""),"D",""))&gt;0,0,IF(AND(ISNUMBER(FIND("B",UPPER(K35))),ISNUMBER(FIND("D",UPPER(K35)))),K4,K4/2)))+IF(UPPER(L35)=UPPER(L5),L4,0)+IF(UPPER(M35)=UPPER(M5),M4,0)+IF(UPPER(N35)=UPPER(N5),N4,0)+IF(O35="",0,IF(LEN(SUBSTITUTE(SUBSTITUTE(UPPER(O35),"B",""),"C",""))&gt;0,0,IF(AND(ISNUMBER(FIND("B",UPPER(O35))),ISNUMBER(FIND("C",UPPER(O35)))),O4,O4/2)))+IF(UPPER(P35)=UPPER(P5),P4,0)+IF(UPPER(Q35)=UPPER(Q5),Q4,0)+IF(UPPER(R35)=UPPER(R5),R4,0)+IF(UPPER(S35)=UPPER(S5),S4,0)+IF(UPPER(T35)=UPPER(T5),T4,0)+IF(U35="",0,IF(LEN(SUBSTITUTE(SUBSTITUTE(UPPER(U35),"B",""),"D",""))&gt;0,0,IF(AND(ISNUMBER(FIND("B",UPPER(U35))),ISNUMBER(FIND("D",UPPER(U35)))),U4,U4/2)))+IF(V35="",0,IF(LEN(SUBSTITUTE(SUBSTITUTE(UPPER(V35),"A",""),"B",""))&gt;0,0,IF(AND(ISNUMBER(FIND("A",UPPER(V35))),ISNUMBER(FIND("B",UPPER(V35)))),V4,V4/2)))+IF(UPPER(W35)=UPPER(W5),W4,0)+IF(UPPER(X35)=UPPER(X5),X4,0)+IF(UPPER(Y35)=UPPER(Y5),Y4,0)+IF(UPPER(Z35)=UPPER(Z5),Z4,0)+IF(AA35="",0,IF(LEN(SUBSTITUTE(SUBSTITUTE(UPPER(AA35),"B",""),"D",""))&gt;0,0,IF(AND(ISNUMBER(FIND("B",UPPER(AA35))),ISNUMBER(FIND("D",UPPER(AA35)))),AA4,AA4/2)))+IF(AB35="",0,IF(LEN(SUBSTITUTE(SUBSTITUTE(UPPER(AB35),"B",""),"C",""))&gt;0,0,IF(AND(ISNUMBER(FIND("B",UPPER(AB35))),ISNUMBER(FIND("C",UPPER(AB35)))),AB4,AB4/2)))+IF(UPPER(AC35)=UPPER(AC5),AC4,0)+IF(UPPER(AD35)=UPPER(AD5),AD4,0)+IF(UPPER(AE35)=UPPER(AE5),AE4,0)+IF(UPPER(AF35)=UPPER(AF5),AF4,0)+IF(UPPER(AG35)=UPPER(AG5),AG4,0)+IF(UPPER(AH35)=UPPER(AH5),AH4,0)+IF(AI35="",0,IF(LEN(SUBSTITUTE(SUBSTITUTE(UPPER(AI35),"B",""),"D",""))&gt;0,0,IF(AND(ISNUMBER(FIND("B",UPPER(AI35))),ISNUMBER(FIND("D",UPPER(AI35)))),AI4,AI4/2)))+IF(UPPER(AJ35)=UPPER(AJ5),AJ4,0)+IF(UPPER(AK35)=UPPER(AK5),AK4,0)+IF(UPPER(AL35)=UPPER(AL5),AL4,0)+IF(UPPER(AM35)=UPPER(AM5),AM4,0)+IF(AN35="",0,IF(LEN(SUBSTITUTE(SUBSTITUTE(UPPER(AN35),"B",""),"C",""))&gt;0,0,IF(AND(ISNUMBER(FIND("B",UPPER(AN35))),ISNUMBER(FIND("C",UPPER(AN35)))),AN4,AN4/2)))+IF(UPPER(AO35)=UPPER(AO5),AO4,0)+IF(UPPER(AP35)=UPPER(AP5),AP4,0)+IF(UPPER(AQ35)=UPPER(AQ5),AQ4,0)+IF(AR35="",0,IF(LEN(SUBSTITUTE(SUBSTITUTE(UPPER(AR35),"B",""),"C",""))&gt;0,0,IF(AND(ISNUMBER(FIND("B",UPPER(AR35))),ISNUMBER(FIND("C",UPPER(AR35)))),AR4,AR4/2)))</f>
        <v>77.5</v>
      </c>
      <c r="E35" s="13" t="s">
        <v>63</v>
      </c>
      <c r="F35" s="13" t="s">
        <v>63</v>
      </c>
      <c r="G35" s="13" t="s">
        <v>67</v>
      </c>
      <c r="H35" s="13" t="s">
        <v>61</v>
      </c>
      <c r="I35" s="13" t="s">
        <v>61</v>
      </c>
      <c r="J35" s="13" t="s">
        <v>61</v>
      </c>
      <c r="K35" s="13" t="s">
        <v>116</v>
      </c>
      <c r="L35" s="13" t="s">
        <v>63</v>
      </c>
      <c r="M35" s="13" t="s">
        <v>63</v>
      </c>
      <c r="N35" s="13" t="s">
        <v>64</v>
      </c>
      <c r="O35" s="13" t="s">
        <v>73</v>
      </c>
      <c r="P35" s="13" t="s">
        <v>61</v>
      </c>
      <c r="Q35" s="13" t="s">
        <v>60</v>
      </c>
      <c r="R35" s="13" t="s">
        <v>61</v>
      </c>
      <c r="S35" s="13" t="s">
        <v>63</v>
      </c>
      <c r="T35" s="13" t="s">
        <v>63</v>
      </c>
      <c r="U35" s="13" t="s">
        <v>116</v>
      </c>
      <c r="V35" s="13" t="s">
        <v>62</v>
      </c>
      <c r="W35" s="13" t="s">
        <v>63</v>
      </c>
      <c r="X35" s="13" t="s">
        <v>60</v>
      </c>
      <c r="Y35" s="13" t="s">
        <v>60</v>
      </c>
      <c r="Z35" s="13" t="s">
        <v>61</v>
      </c>
      <c r="AA35" s="13" t="s">
        <v>66</v>
      </c>
      <c r="AB35" s="13" t="s">
        <v>62</v>
      </c>
      <c r="AC35" s="13" t="s">
        <v>61</v>
      </c>
      <c r="AD35" s="13" t="s">
        <v>64</v>
      </c>
      <c r="AE35" s="13" t="s">
        <v>60</v>
      </c>
      <c r="AF35" s="13" t="s">
        <v>60</v>
      </c>
      <c r="AG35" s="13" t="s">
        <v>64</v>
      </c>
      <c r="AH35" s="13" t="s">
        <v>64</v>
      </c>
      <c r="AI35" s="13" t="s">
        <v>230</v>
      </c>
      <c r="AJ35" s="13" t="s">
        <v>64</v>
      </c>
      <c r="AK35" s="13" t="s">
        <v>63</v>
      </c>
      <c r="AL35" s="13" t="s">
        <v>64</v>
      </c>
      <c r="AM35" s="13" t="s">
        <v>63</v>
      </c>
      <c r="AN35" s="13" t="s">
        <v>73</v>
      </c>
      <c r="AO35" s="13" t="s">
        <v>60</v>
      </c>
      <c r="AP35" s="13" t="s">
        <v>63</v>
      </c>
      <c r="AQ35" s="13" t="s">
        <v>63</v>
      </c>
      <c r="AR35" s="13" t="s">
        <v>65</v>
      </c>
    </row>
    <row r="36" ht="15.75" customHeight="1">
      <c r="A36" s="10">
        <v>2.023905327E9</v>
      </c>
      <c r="B36" s="10" t="s">
        <v>110</v>
      </c>
      <c r="C36" s="10" t="s">
        <v>231</v>
      </c>
      <c r="D36" s="12">
        <f>IF(UPPER(E36)=UPPER(E5),E4,0)+IF(UPPER(F36)=UPPER(F5),F4,0)+IF(G36="",0,IF(LEN(SUBSTITUTE(SUBSTITUTE(UPPER(G36),"A",""),"D",""))&gt;0,0,IF(AND(ISNUMBER(FIND("A",UPPER(G36))),ISNUMBER(FIND("D",UPPER(G36)))),G4,G4/2)))+IF(UPPER(H36)=UPPER(H5),H4,0)+IF(UPPER(I36)=UPPER(I5),I4,0)+IF(UPPER(J36)=UPPER(J5),J4,0)+IF(K36="",0,IF(LEN(SUBSTITUTE(SUBSTITUTE(UPPER(K36),"B",""),"D",""))&gt;0,0,IF(AND(ISNUMBER(FIND("B",UPPER(K36))),ISNUMBER(FIND("D",UPPER(K36)))),K4,K4/2)))+IF(UPPER(L36)=UPPER(L5),L4,0)+IF(UPPER(M36)=UPPER(M5),M4,0)+IF(UPPER(N36)=UPPER(N5),N4,0)+IF(O36="",0,IF(LEN(SUBSTITUTE(SUBSTITUTE(UPPER(O36),"B",""),"C",""))&gt;0,0,IF(AND(ISNUMBER(FIND("B",UPPER(O36))),ISNUMBER(FIND("C",UPPER(O36)))),O4,O4/2)))+IF(UPPER(P36)=UPPER(P5),P4,0)+IF(UPPER(Q36)=UPPER(Q5),Q4,0)+IF(UPPER(R36)=UPPER(R5),R4,0)+IF(UPPER(S36)=UPPER(S5),S4,0)+IF(UPPER(T36)=UPPER(T5),T4,0)+IF(U36="",0,IF(LEN(SUBSTITUTE(SUBSTITUTE(UPPER(U36),"B",""),"D",""))&gt;0,0,IF(AND(ISNUMBER(FIND("B",UPPER(U36))),ISNUMBER(FIND("D",UPPER(U36)))),U4,U4/2)))+IF(V36="",0,IF(LEN(SUBSTITUTE(SUBSTITUTE(UPPER(V36),"A",""),"B",""))&gt;0,0,IF(AND(ISNUMBER(FIND("A",UPPER(V36))),ISNUMBER(FIND("B",UPPER(V36)))),V4,V4/2)))+IF(UPPER(W36)=UPPER(W5),W4,0)+IF(UPPER(X36)=UPPER(X5),X4,0)+IF(UPPER(Y36)=UPPER(Y5),Y4,0)+IF(UPPER(Z36)=UPPER(Z5),Z4,0)+IF(AA36="",0,IF(LEN(SUBSTITUTE(SUBSTITUTE(UPPER(AA36),"B",""),"D",""))&gt;0,0,IF(AND(ISNUMBER(FIND("B",UPPER(AA36))),ISNUMBER(FIND("D",UPPER(AA36)))),AA4,AA4/2)))+IF(AB36="",0,IF(LEN(SUBSTITUTE(SUBSTITUTE(UPPER(AB36),"B",""),"C",""))&gt;0,0,IF(AND(ISNUMBER(FIND("B",UPPER(AB36))),ISNUMBER(FIND("C",UPPER(AB36)))),AB4,AB4/2)))+IF(UPPER(AC36)=UPPER(AC5),AC4,0)+IF(UPPER(AD36)=UPPER(AD5),AD4,0)+IF(UPPER(AE36)=UPPER(AE5),AE4,0)+IF(UPPER(AF36)=UPPER(AF5),AF4,0)+IF(UPPER(AG36)=UPPER(AG5),AG4,0)+IF(UPPER(AH36)=UPPER(AH5),AH4,0)+IF(AI36="",0,IF(LEN(SUBSTITUTE(SUBSTITUTE(UPPER(AI36),"B",""),"D",""))&gt;0,0,IF(AND(ISNUMBER(FIND("B",UPPER(AI36))),ISNUMBER(FIND("D",UPPER(AI36)))),AI4,AI4/2)))+IF(UPPER(AJ36)=UPPER(AJ5),AJ4,0)+IF(UPPER(AK36)=UPPER(AK5),AK4,0)+IF(UPPER(AL36)=UPPER(AL5),AL4,0)+IF(UPPER(AM36)=UPPER(AM5),AM4,0)+IF(AN36="",0,IF(LEN(SUBSTITUTE(SUBSTITUTE(UPPER(AN36),"B",""),"C",""))&gt;0,0,IF(AND(ISNUMBER(FIND("B",UPPER(AN36))),ISNUMBER(FIND("C",UPPER(AN36)))),AN4,AN4/2)))+IF(UPPER(AO36)=UPPER(AO5),AO4,0)+IF(UPPER(AP36)=UPPER(AP5),AP4,0)+IF(UPPER(AQ36)=UPPER(AQ5),AQ4,0)+IF(AR36="",0,IF(LEN(SUBSTITUTE(SUBSTITUTE(UPPER(AR36),"B",""),"C",""))&gt;0,0,IF(AND(ISNUMBER(FIND("B",UPPER(AR36))),ISNUMBER(FIND("C",UPPER(AR36)))),AR4,AR4/2)))</f>
        <v>75</v>
      </c>
      <c r="E36" s="13" t="s">
        <v>61</v>
      </c>
      <c r="F36" s="13" t="s">
        <v>60</v>
      </c>
      <c r="G36" s="13" t="s">
        <v>232</v>
      </c>
      <c r="H36" s="13" t="s">
        <v>64</v>
      </c>
      <c r="I36" s="13" t="s">
        <v>63</v>
      </c>
      <c r="J36" s="13" t="s">
        <v>61</v>
      </c>
      <c r="K36" s="13" t="s">
        <v>62</v>
      </c>
      <c r="L36" s="13" t="s">
        <v>63</v>
      </c>
      <c r="M36" s="13" t="s">
        <v>64</v>
      </c>
      <c r="N36" s="13" t="s">
        <v>64</v>
      </c>
      <c r="O36" s="13" t="s">
        <v>73</v>
      </c>
      <c r="P36" s="13" t="s">
        <v>64</v>
      </c>
      <c r="Q36" s="13" t="s">
        <v>60</v>
      </c>
      <c r="R36" s="13" t="s">
        <v>61</v>
      </c>
      <c r="S36" s="13" t="s">
        <v>64</v>
      </c>
      <c r="T36" s="13" t="s">
        <v>63</v>
      </c>
      <c r="U36" s="13" t="s">
        <v>62</v>
      </c>
      <c r="V36" s="13" t="s">
        <v>66</v>
      </c>
      <c r="W36" s="13" t="s">
        <v>63</v>
      </c>
      <c r="X36" s="13" t="s">
        <v>60</v>
      </c>
      <c r="Y36" s="13" t="s">
        <v>64</v>
      </c>
      <c r="Z36" s="13" t="s">
        <v>61</v>
      </c>
      <c r="AA36" s="13" t="s">
        <v>74</v>
      </c>
      <c r="AB36" s="13" t="s">
        <v>73</v>
      </c>
      <c r="AC36" s="13" t="s">
        <v>60</v>
      </c>
      <c r="AD36" s="13" t="s">
        <v>64</v>
      </c>
      <c r="AE36" s="13" t="s">
        <v>60</v>
      </c>
      <c r="AF36" s="13" t="s">
        <v>60</v>
      </c>
      <c r="AG36" s="13" t="s">
        <v>64</v>
      </c>
      <c r="AH36" s="13" t="s">
        <v>64</v>
      </c>
      <c r="AI36" s="13" t="s">
        <v>74</v>
      </c>
      <c r="AJ36" s="13" t="s">
        <v>64</v>
      </c>
      <c r="AK36" s="13" t="s">
        <v>63</v>
      </c>
      <c r="AL36" s="13" t="s">
        <v>64</v>
      </c>
      <c r="AM36" s="13" t="s">
        <v>63</v>
      </c>
      <c r="AN36" s="13" t="s">
        <v>73</v>
      </c>
      <c r="AO36" s="13" t="s">
        <v>60</v>
      </c>
      <c r="AP36" s="13" t="s">
        <v>63</v>
      </c>
      <c r="AQ36" s="13" t="s">
        <v>63</v>
      </c>
      <c r="AR36" s="13" t="s">
        <v>66</v>
      </c>
    </row>
    <row r="37" ht="15.75" customHeight="1">
      <c r="A37" s="10">
        <v>2.023902041E9</v>
      </c>
      <c r="B37" s="10" t="s">
        <v>233</v>
      </c>
      <c r="C37" s="10" t="s">
        <v>234</v>
      </c>
      <c r="D37" s="12">
        <f>IF(UPPER(E37)=UPPER(E5),E4,0)+IF(UPPER(F37)=UPPER(F5),F4,0)+IF(G37="",0,IF(LEN(SUBSTITUTE(SUBSTITUTE(UPPER(G37),"A",""),"D",""))&gt;0,0,IF(AND(ISNUMBER(FIND("A",UPPER(G37))),ISNUMBER(FIND("D",UPPER(G37)))),G4,G4/2)))+IF(UPPER(H37)=UPPER(H5),H4,0)+IF(UPPER(I37)=UPPER(I5),I4,0)+IF(UPPER(J37)=UPPER(J5),J4,0)+IF(K37="",0,IF(LEN(SUBSTITUTE(SUBSTITUTE(UPPER(K37),"B",""),"D",""))&gt;0,0,IF(AND(ISNUMBER(FIND("B",UPPER(K37))),ISNUMBER(FIND("D",UPPER(K37)))),K4,K4/2)))+IF(UPPER(L37)=UPPER(L5),L4,0)+IF(UPPER(M37)=UPPER(M5),M4,0)+IF(UPPER(N37)=UPPER(N5),N4,0)+IF(O37="",0,IF(LEN(SUBSTITUTE(SUBSTITUTE(UPPER(O37),"B",""),"C",""))&gt;0,0,IF(AND(ISNUMBER(FIND("B",UPPER(O37))),ISNUMBER(FIND("C",UPPER(O37)))),O4,O4/2)))+IF(UPPER(P37)=UPPER(P5),P4,0)+IF(UPPER(Q37)=UPPER(Q5),Q4,0)+IF(UPPER(R37)=UPPER(R5),R4,0)+IF(UPPER(S37)=UPPER(S5),S4,0)+IF(UPPER(T37)=UPPER(T5),T4,0)+IF(U37="",0,IF(LEN(SUBSTITUTE(SUBSTITUTE(UPPER(U37),"B",""),"D",""))&gt;0,0,IF(AND(ISNUMBER(FIND("B",UPPER(U37))),ISNUMBER(FIND("D",UPPER(U37)))),U4,U4/2)))+IF(V37="",0,IF(LEN(SUBSTITUTE(SUBSTITUTE(UPPER(V37),"A",""),"B",""))&gt;0,0,IF(AND(ISNUMBER(FIND("A",UPPER(V37))),ISNUMBER(FIND("B",UPPER(V37)))),V4,V4/2)))+IF(UPPER(W37)=UPPER(W5),W4,0)+IF(UPPER(X37)=UPPER(X5),X4,0)+IF(UPPER(Y37)=UPPER(Y5),Y4,0)+IF(UPPER(Z37)=UPPER(Z5),Z4,0)+IF(AA37="",0,IF(LEN(SUBSTITUTE(SUBSTITUTE(UPPER(AA37),"B",""),"D",""))&gt;0,0,IF(AND(ISNUMBER(FIND("B",UPPER(AA37))),ISNUMBER(FIND("D",UPPER(AA37)))),AA4,AA4/2)))+IF(AB37="",0,IF(LEN(SUBSTITUTE(SUBSTITUTE(UPPER(AB37),"B",""),"C",""))&gt;0,0,IF(AND(ISNUMBER(FIND("B",UPPER(AB37))),ISNUMBER(FIND("C",UPPER(AB37)))),AB4,AB4/2)))+IF(UPPER(AC37)=UPPER(AC5),AC4,0)+IF(UPPER(AD37)=UPPER(AD5),AD4,0)+IF(UPPER(AE37)=UPPER(AE5),AE4,0)+IF(UPPER(AF37)=UPPER(AF5),AF4,0)+IF(UPPER(AG37)=UPPER(AG5),AG4,0)+IF(UPPER(AH37)=UPPER(AH5),AH4,0)+IF(AI37="",0,IF(LEN(SUBSTITUTE(SUBSTITUTE(UPPER(AI37),"B",""),"D",""))&gt;0,0,IF(AND(ISNUMBER(FIND("B",UPPER(AI37))),ISNUMBER(FIND("D",UPPER(AI37)))),AI4,AI4/2)))+IF(UPPER(AJ37)=UPPER(AJ5),AJ4,0)+IF(UPPER(AK37)=UPPER(AK5),AK4,0)+IF(UPPER(AL37)=UPPER(AL5),AL4,0)+IF(UPPER(AM37)=UPPER(AM5),AM4,0)+IF(AN37="",0,IF(LEN(SUBSTITUTE(SUBSTITUTE(UPPER(AN37),"B",""),"C",""))&gt;0,0,IF(AND(ISNUMBER(FIND("B",UPPER(AN37))),ISNUMBER(FIND("C",UPPER(AN37)))),AN4,AN4/2)))+IF(UPPER(AO37)=UPPER(AO5),AO4,0)+IF(UPPER(AP37)=UPPER(AP5),AP4,0)+IF(UPPER(AQ37)=UPPER(AQ5),AQ4,0)+IF(AR37="",0,IF(LEN(SUBSTITUTE(SUBSTITUTE(UPPER(AR37),"B",""),"C",""))&gt;0,0,IF(AND(ISNUMBER(FIND("B",UPPER(AR37))),ISNUMBER(FIND("C",UPPER(AR37)))),AR4,AR4/2)))</f>
        <v>0</v>
      </c>
      <c r="E37" s="13" t="s">
        <v>139</v>
      </c>
      <c r="F37" s="13" t="s">
        <v>139</v>
      </c>
      <c r="G37" s="13" t="s">
        <v>139</v>
      </c>
      <c r="H37" s="13" t="s">
        <v>139</v>
      </c>
      <c r="I37" s="13" t="s">
        <v>139</v>
      </c>
      <c r="J37" s="13" t="s">
        <v>139</v>
      </c>
      <c r="K37" s="13" t="s">
        <v>139</v>
      </c>
      <c r="L37" s="13" t="s">
        <v>139</v>
      </c>
      <c r="M37" s="13" t="s">
        <v>139</v>
      </c>
      <c r="N37" s="13" t="s">
        <v>139</v>
      </c>
      <c r="O37" s="13" t="s">
        <v>139</v>
      </c>
      <c r="P37" s="13" t="s">
        <v>139</v>
      </c>
      <c r="Q37" s="13" t="s">
        <v>139</v>
      </c>
      <c r="R37" s="13" t="s">
        <v>139</v>
      </c>
      <c r="S37" s="13" t="s">
        <v>139</v>
      </c>
      <c r="T37" s="13" t="s">
        <v>139</v>
      </c>
      <c r="U37" s="13" t="s">
        <v>139</v>
      </c>
      <c r="V37" s="13" t="s">
        <v>139</v>
      </c>
      <c r="W37" s="13" t="s">
        <v>139</v>
      </c>
      <c r="X37" s="13" t="s">
        <v>139</v>
      </c>
      <c r="Y37" s="13" t="s">
        <v>139</v>
      </c>
      <c r="Z37" s="13" t="s">
        <v>139</v>
      </c>
      <c r="AA37" s="13" t="s">
        <v>139</v>
      </c>
      <c r="AB37" s="13" t="s">
        <v>139</v>
      </c>
      <c r="AC37" s="13" t="s">
        <v>139</v>
      </c>
      <c r="AD37" s="13" t="s">
        <v>139</v>
      </c>
      <c r="AE37" s="13" t="s">
        <v>139</v>
      </c>
      <c r="AF37" s="13" t="s">
        <v>139</v>
      </c>
      <c r="AG37" s="13" t="s">
        <v>139</v>
      </c>
      <c r="AH37" s="13" t="s">
        <v>139</v>
      </c>
      <c r="AI37" s="13" t="s">
        <v>139</v>
      </c>
      <c r="AJ37" s="13" t="s">
        <v>139</v>
      </c>
      <c r="AK37" s="13" t="s">
        <v>139</v>
      </c>
      <c r="AL37" s="13" t="s">
        <v>139</v>
      </c>
      <c r="AM37" s="13" t="s">
        <v>139</v>
      </c>
      <c r="AN37" s="13" t="s">
        <v>139</v>
      </c>
      <c r="AO37" s="13" t="s">
        <v>139</v>
      </c>
      <c r="AP37" s="13" t="s">
        <v>139</v>
      </c>
      <c r="AQ37" s="13" t="s">
        <v>139</v>
      </c>
      <c r="AR37" s="13" t="s">
        <v>139</v>
      </c>
    </row>
    <row r="38" ht="15.75" customHeight="1">
      <c r="A38" s="10">
        <v>2.023901707E9</v>
      </c>
      <c r="B38" s="10" t="s">
        <v>235</v>
      </c>
      <c r="C38" s="10" t="s">
        <v>236</v>
      </c>
      <c r="D38" s="12">
        <f>IF(UPPER(E38)=UPPER(E5),E4,0)+IF(UPPER(F38)=UPPER(F5),F4,0)+IF(G38="",0,IF(LEN(SUBSTITUTE(SUBSTITUTE(UPPER(G38),"A",""),"D",""))&gt;0,0,IF(AND(ISNUMBER(FIND("A",UPPER(G38))),ISNUMBER(FIND("D",UPPER(G38)))),G4,G4/2)))+IF(UPPER(H38)=UPPER(H5),H4,0)+IF(UPPER(I38)=UPPER(I5),I4,0)+IF(UPPER(J38)=UPPER(J5),J4,0)+IF(K38="",0,IF(LEN(SUBSTITUTE(SUBSTITUTE(UPPER(K38),"B",""),"D",""))&gt;0,0,IF(AND(ISNUMBER(FIND("B",UPPER(K38))),ISNUMBER(FIND("D",UPPER(K38)))),K4,K4/2)))+IF(UPPER(L38)=UPPER(L5),L4,0)+IF(UPPER(M38)=UPPER(M5),M4,0)+IF(UPPER(N38)=UPPER(N5),N4,0)+IF(O38="",0,IF(LEN(SUBSTITUTE(SUBSTITUTE(UPPER(O38),"B",""),"C",""))&gt;0,0,IF(AND(ISNUMBER(FIND("B",UPPER(O38))),ISNUMBER(FIND("C",UPPER(O38)))),O4,O4/2)))+IF(UPPER(P38)=UPPER(P5),P4,0)+IF(UPPER(Q38)=UPPER(Q5),Q4,0)+IF(UPPER(R38)=UPPER(R5),R4,0)+IF(UPPER(S38)=UPPER(S5),S4,0)+IF(UPPER(T38)=UPPER(T5),T4,0)+IF(U38="",0,IF(LEN(SUBSTITUTE(SUBSTITUTE(UPPER(U38),"B",""),"D",""))&gt;0,0,IF(AND(ISNUMBER(FIND("B",UPPER(U38))),ISNUMBER(FIND("D",UPPER(U38)))),U4,U4/2)))+IF(V38="",0,IF(LEN(SUBSTITUTE(SUBSTITUTE(UPPER(V38),"A",""),"B",""))&gt;0,0,IF(AND(ISNUMBER(FIND("A",UPPER(V38))),ISNUMBER(FIND("B",UPPER(V38)))),V4,V4/2)))+IF(UPPER(W38)=UPPER(W5),W4,0)+IF(UPPER(X38)=UPPER(X5),X4,0)+IF(UPPER(Y38)=UPPER(Y5),Y4,0)+IF(UPPER(Z38)=UPPER(Z5),Z4,0)+IF(AA38="",0,IF(LEN(SUBSTITUTE(SUBSTITUTE(UPPER(AA38),"B",""),"D",""))&gt;0,0,IF(AND(ISNUMBER(FIND("B",UPPER(AA38))),ISNUMBER(FIND("D",UPPER(AA38)))),AA4,AA4/2)))+IF(AB38="",0,IF(LEN(SUBSTITUTE(SUBSTITUTE(UPPER(AB38),"B",""),"C",""))&gt;0,0,IF(AND(ISNUMBER(FIND("B",UPPER(AB38))),ISNUMBER(FIND("C",UPPER(AB38)))),AB4,AB4/2)))+IF(UPPER(AC38)=UPPER(AC5),AC4,0)+IF(UPPER(AD38)=UPPER(AD5),AD4,0)+IF(UPPER(AE38)=UPPER(AE5),AE4,0)+IF(UPPER(AF38)=UPPER(AF5),AF4,0)+IF(UPPER(AG38)=UPPER(AG5),AG4,0)+IF(UPPER(AH38)=UPPER(AH5),AH4,0)+IF(AI38="",0,IF(LEN(SUBSTITUTE(SUBSTITUTE(UPPER(AI38),"B",""),"D",""))&gt;0,0,IF(AND(ISNUMBER(FIND("B",UPPER(AI38))),ISNUMBER(FIND("D",UPPER(AI38)))),AI4,AI4/2)))+IF(UPPER(AJ38)=UPPER(AJ5),AJ4,0)+IF(UPPER(AK38)=UPPER(AK5),AK4,0)+IF(UPPER(AL38)=UPPER(AL5),AL4,0)+IF(UPPER(AM38)=UPPER(AM5),AM4,0)+IF(AN38="",0,IF(LEN(SUBSTITUTE(SUBSTITUTE(UPPER(AN38),"B",""),"C",""))&gt;0,0,IF(AND(ISNUMBER(FIND("B",UPPER(AN38))),ISNUMBER(FIND("C",UPPER(AN38)))),AN4,AN4/2)))+IF(UPPER(AO38)=UPPER(AO5),AO4,0)+IF(UPPER(AP38)=UPPER(AP5),AP4,0)+IF(UPPER(AQ38)=UPPER(AQ5),AQ4,0)+IF(AR38="",0,IF(LEN(SUBSTITUTE(SUBSTITUTE(UPPER(AR38),"B",""),"C",""))&gt;0,0,IF(AND(ISNUMBER(FIND("B",UPPER(AR38))),ISNUMBER(FIND("C",UPPER(AR38)))),AR4,AR4/2)))</f>
        <v>70</v>
      </c>
      <c r="E38" s="13" t="s">
        <v>63</v>
      </c>
      <c r="F38" s="13" t="s">
        <v>60</v>
      </c>
      <c r="G38" s="13" t="s">
        <v>61</v>
      </c>
      <c r="H38" s="13" t="s">
        <v>60</v>
      </c>
      <c r="I38" s="13" t="s">
        <v>60</v>
      </c>
      <c r="J38" s="13" t="s">
        <v>60</v>
      </c>
      <c r="K38" s="13" t="s">
        <v>64</v>
      </c>
      <c r="L38" s="13" t="s">
        <v>63</v>
      </c>
      <c r="M38" s="13" t="s">
        <v>63</v>
      </c>
      <c r="N38" s="13" t="s">
        <v>64</v>
      </c>
      <c r="O38" s="13" t="s">
        <v>63</v>
      </c>
      <c r="P38" s="13" t="s">
        <v>61</v>
      </c>
      <c r="Q38" s="13" t="s">
        <v>60</v>
      </c>
      <c r="R38" s="13" t="s">
        <v>61</v>
      </c>
      <c r="S38" s="13" t="s">
        <v>64</v>
      </c>
      <c r="T38" s="13" t="s">
        <v>63</v>
      </c>
      <c r="U38" s="13" t="s">
        <v>61</v>
      </c>
      <c r="V38" s="13" t="s">
        <v>63</v>
      </c>
      <c r="W38" s="13" t="s">
        <v>63</v>
      </c>
      <c r="X38" s="13" t="s">
        <v>63</v>
      </c>
      <c r="Y38" s="13" t="s">
        <v>60</v>
      </c>
      <c r="Z38" s="13" t="s">
        <v>64</v>
      </c>
      <c r="AA38" s="13" t="s">
        <v>64</v>
      </c>
      <c r="AB38" s="13" t="s">
        <v>60</v>
      </c>
      <c r="AC38" s="13" t="s">
        <v>61</v>
      </c>
      <c r="AD38" s="13" t="s">
        <v>64</v>
      </c>
      <c r="AE38" s="13" t="s">
        <v>60</v>
      </c>
      <c r="AF38" s="13" t="s">
        <v>60</v>
      </c>
      <c r="AG38" s="13" t="s">
        <v>64</v>
      </c>
      <c r="AH38" s="13" t="s">
        <v>64</v>
      </c>
      <c r="AI38" s="13" t="s">
        <v>74</v>
      </c>
      <c r="AJ38" s="13" t="s">
        <v>64</v>
      </c>
      <c r="AK38" s="13" t="s">
        <v>63</v>
      </c>
      <c r="AL38" s="13" t="s">
        <v>64</v>
      </c>
      <c r="AM38" s="13" t="s">
        <v>63</v>
      </c>
      <c r="AN38" s="13" t="s">
        <v>63</v>
      </c>
      <c r="AO38" s="13" t="s">
        <v>60</v>
      </c>
      <c r="AP38" s="13" t="s">
        <v>63</v>
      </c>
      <c r="AQ38" s="13" t="s">
        <v>60</v>
      </c>
      <c r="AR38" s="13" t="s">
        <v>61</v>
      </c>
    </row>
    <row r="39" ht="15.75" customHeight="1">
      <c r="A39" s="10">
        <v>2.023902039E9</v>
      </c>
      <c r="B39" s="10" t="s">
        <v>237</v>
      </c>
      <c r="C39" s="10" t="s">
        <v>238</v>
      </c>
      <c r="D39" s="12">
        <f>IF(UPPER(E39)=UPPER(E5),E4,0)+IF(UPPER(F39)=UPPER(F5),F4,0)+IF(G39="",0,IF(LEN(SUBSTITUTE(SUBSTITUTE(UPPER(G39),"A",""),"D",""))&gt;0,0,IF(AND(ISNUMBER(FIND("A",UPPER(G39))),ISNUMBER(FIND("D",UPPER(G39)))),G4,G4/2)))+IF(UPPER(H39)=UPPER(H5),H4,0)+IF(UPPER(I39)=UPPER(I5),I4,0)+IF(UPPER(J39)=UPPER(J5),J4,0)+IF(K39="",0,IF(LEN(SUBSTITUTE(SUBSTITUTE(UPPER(K39),"B",""),"D",""))&gt;0,0,IF(AND(ISNUMBER(FIND("B",UPPER(K39))),ISNUMBER(FIND("D",UPPER(K39)))),K4,K4/2)))+IF(UPPER(L39)=UPPER(L5),L4,0)+IF(UPPER(M39)=UPPER(M5),M4,0)+IF(UPPER(N39)=UPPER(N5),N4,0)+IF(O39="",0,IF(LEN(SUBSTITUTE(SUBSTITUTE(UPPER(O39),"B",""),"C",""))&gt;0,0,IF(AND(ISNUMBER(FIND("B",UPPER(O39))),ISNUMBER(FIND("C",UPPER(O39)))),O4,O4/2)))+IF(UPPER(P39)=UPPER(P5),P4,0)+IF(UPPER(Q39)=UPPER(Q5),Q4,0)+IF(UPPER(R39)=UPPER(R5),R4,0)+IF(UPPER(S39)=UPPER(S5),S4,0)+IF(UPPER(T39)=UPPER(T5),T4,0)+IF(U39="",0,IF(LEN(SUBSTITUTE(SUBSTITUTE(UPPER(U39),"B",""),"D",""))&gt;0,0,IF(AND(ISNUMBER(FIND("B",UPPER(U39))),ISNUMBER(FIND("D",UPPER(U39)))),U4,U4/2)))+IF(V39="",0,IF(LEN(SUBSTITUTE(SUBSTITUTE(UPPER(V39),"A",""),"B",""))&gt;0,0,IF(AND(ISNUMBER(FIND("A",UPPER(V39))),ISNUMBER(FIND("B",UPPER(V39)))),V4,V4/2)))+IF(UPPER(W39)=UPPER(W5),W4,0)+IF(UPPER(X39)=UPPER(X5),X4,0)+IF(UPPER(Y39)=UPPER(Y5),Y4,0)+IF(UPPER(Z39)=UPPER(Z5),Z4,0)+IF(AA39="",0,IF(LEN(SUBSTITUTE(SUBSTITUTE(UPPER(AA39),"B",""),"D",""))&gt;0,0,IF(AND(ISNUMBER(FIND("B",UPPER(AA39))),ISNUMBER(FIND("D",UPPER(AA39)))),AA4,AA4/2)))+IF(AB39="",0,IF(LEN(SUBSTITUTE(SUBSTITUTE(UPPER(AB39),"B",""),"C",""))&gt;0,0,IF(AND(ISNUMBER(FIND("B",UPPER(AB39))),ISNUMBER(FIND("C",UPPER(AB39)))),AB4,AB4/2)))+IF(UPPER(AC39)=UPPER(AC5),AC4,0)+IF(UPPER(AD39)=UPPER(AD5),AD4,0)+IF(UPPER(AE39)=UPPER(AE5),AE4,0)+IF(UPPER(AF39)=UPPER(AF5),AF4,0)+IF(UPPER(AG39)=UPPER(AG5),AG4,0)+IF(UPPER(AH39)=UPPER(AH5),AH4,0)+IF(AI39="",0,IF(LEN(SUBSTITUTE(SUBSTITUTE(UPPER(AI39),"B",""),"D",""))&gt;0,0,IF(AND(ISNUMBER(FIND("B",UPPER(AI39))),ISNUMBER(FIND("D",UPPER(AI39)))),AI4,AI4/2)))+IF(UPPER(AJ39)=UPPER(AJ5),AJ4,0)+IF(UPPER(AK39)=UPPER(AK5),AK4,0)+IF(UPPER(AL39)=UPPER(AL5),AL4,0)+IF(UPPER(AM39)=UPPER(AM5),AM4,0)+IF(AN39="",0,IF(LEN(SUBSTITUTE(SUBSTITUTE(UPPER(AN39),"B",""),"C",""))&gt;0,0,IF(AND(ISNUMBER(FIND("B",UPPER(AN39))),ISNUMBER(FIND("C",UPPER(AN39)))),AN4,AN4/2)))+IF(UPPER(AO39)=UPPER(AO5),AO4,0)+IF(UPPER(AP39)=UPPER(AP5),AP4,0)+IF(UPPER(AQ39)=UPPER(AQ5),AQ4,0)+IF(AR39="",0,IF(LEN(SUBSTITUTE(SUBSTITUTE(UPPER(AR39),"B",""),"C",""))&gt;0,0,IF(AND(ISNUMBER(FIND("B",UPPER(AR39))),ISNUMBER(FIND("C",UPPER(AR39)))),AR4,AR4/2)))</f>
        <v>91.25</v>
      </c>
      <c r="E39" s="13" t="s">
        <v>63</v>
      </c>
      <c r="F39" s="13" t="s">
        <v>60</v>
      </c>
      <c r="G39" s="13" t="s">
        <v>67</v>
      </c>
      <c r="H39" s="13" t="s">
        <v>61</v>
      </c>
      <c r="I39" s="13" t="s">
        <v>61</v>
      </c>
      <c r="J39" s="13" t="s">
        <v>61</v>
      </c>
      <c r="K39" s="13" t="s">
        <v>74</v>
      </c>
      <c r="L39" s="13" t="s">
        <v>63</v>
      </c>
      <c r="M39" s="13" t="s">
        <v>63</v>
      </c>
      <c r="N39" s="13" t="s">
        <v>64</v>
      </c>
      <c r="O39" s="13" t="s">
        <v>73</v>
      </c>
      <c r="P39" s="13" t="s">
        <v>63</v>
      </c>
      <c r="Q39" s="13" t="s">
        <v>60</v>
      </c>
      <c r="R39" s="13" t="s">
        <v>61</v>
      </c>
      <c r="S39" s="13" t="s">
        <v>64</v>
      </c>
      <c r="T39" s="13" t="s">
        <v>63</v>
      </c>
      <c r="U39" s="13" t="s">
        <v>74</v>
      </c>
      <c r="V39" s="13" t="s">
        <v>66</v>
      </c>
      <c r="W39" s="13" t="s">
        <v>63</v>
      </c>
      <c r="X39" s="13" t="s">
        <v>60</v>
      </c>
      <c r="Y39" s="13" t="s">
        <v>61</v>
      </c>
      <c r="Z39" s="13" t="s">
        <v>61</v>
      </c>
      <c r="AA39" s="13" t="s">
        <v>74</v>
      </c>
      <c r="AB39" s="13" t="s">
        <v>73</v>
      </c>
      <c r="AC39" s="13" t="s">
        <v>61</v>
      </c>
      <c r="AD39" s="13" t="s">
        <v>64</v>
      </c>
      <c r="AE39" s="13" t="s">
        <v>60</v>
      </c>
      <c r="AF39" s="13" t="s">
        <v>60</v>
      </c>
      <c r="AG39" s="13" t="s">
        <v>64</v>
      </c>
      <c r="AH39" s="13" t="s">
        <v>64</v>
      </c>
      <c r="AI39" s="13" t="s">
        <v>74</v>
      </c>
      <c r="AJ39" s="13" t="s">
        <v>64</v>
      </c>
      <c r="AK39" s="13" t="s">
        <v>63</v>
      </c>
      <c r="AL39" s="13" t="s">
        <v>64</v>
      </c>
      <c r="AM39" s="13" t="s">
        <v>63</v>
      </c>
      <c r="AN39" s="13" t="s">
        <v>63</v>
      </c>
      <c r="AO39" s="13" t="s">
        <v>60</v>
      </c>
      <c r="AP39" s="13" t="s">
        <v>63</v>
      </c>
      <c r="AQ39" s="13" t="s">
        <v>64</v>
      </c>
      <c r="AR39" s="13" t="s">
        <v>73</v>
      </c>
    </row>
    <row r="40" ht="15.75" customHeight="1">
      <c r="A40" s="10">
        <v>2.023905324E9</v>
      </c>
      <c r="B40" s="10" t="s">
        <v>239</v>
      </c>
      <c r="C40" s="10" t="s">
        <v>240</v>
      </c>
      <c r="D40" s="12">
        <f>IF(UPPER(E40)=UPPER(E5),E4,0)+IF(UPPER(F40)=UPPER(F5),F4,0)+IF(G40="",0,IF(LEN(SUBSTITUTE(SUBSTITUTE(UPPER(G40),"A",""),"D",""))&gt;0,0,IF(AND(ISNUMBER(FIND("A",UPPER(G40))),ISNUMBER(FIND("D",UPPER(G40)))),G4,G4/2)))+IF(UPPER(H40)=UPPER(H5),H4,0)+IF(UPPER(I40)=UPPER(I5),I4,0)+IF(UPPER(J40)=UPPER(J5),J4,0)+IF(K40="",0,IF(LEN(SUBSTITUTE(SUBSTITUTE(UPPER(K40),"B",""),"D",""))&gt;0,0,IF(AND(ISNUMBER(FIND("B",UPPER(K40))),ISNUMBER(FIND("D",UPPER(K40)))),K4,K4/2)))+IF(UPPER(L40)=UPPER(L5),L4,0)+IF(UPPER(M40)=UPPER(M5),M4,0)+IF(UPPER(N40)=UPPER(N5),N4,0)+IF(O40="",0,IF(LEN(SUBSTITUTE(SUBSTITUTE(UPPER(O40),"B",""),"C",""))&gt;0,0,IF(AND(ISNUMBER(FIND("B",UPPER(O40))),ISNUMBER(FIND("C",UPPER(O40)))),O4,O4/2)))+IF(UPPER(P40)=UPPER(P5),P4,0)+IF(UPPER(Q40)=UPPER(Q5),Q4,0)+IF(UPPER(R40)=UPPER(R5),R4,0)+IF(UPPER(S40)=UPPER(S5),S4,0)+IF(UPPER(T40)=UPPER(T5),T4,0)+IF(U40="",0,IF(LEN(SUBSTITUTE(SUBSTITUTE(UPPER(U40),"B",""),"D",""))&gt;0,0,IF(AND(ISNUMBER(FIND("B",UPPER(U40))),ISNUMBER(FIND("D",UPPER(U40)))),U4,U4/2)))+IF(V40="",0,IF(LEN(SUBSTITUTE(SUBSTITUTE(UPPER(V40),"A",""),"B",""))&gt;0,0,IF(AND(ISNUMBER(FIND("A",UPPER(V40))),ISNUMBER(FIND("B",UPPER(V40)))),V4,V4/2)))+IF(UPPER(W40)=UPPER(W5),W4,0)+IF(UPPER(X40)=UPPER(X5),X4,0)+IF(UPPER(Y40)=UPPER(Y5),Y4,0)+IF(UPPER(Z40)=UPPER(Z5),Z4,0)+IF(AA40="",0,IF(LEN(SUBSTITUTE(SUBSTITUTE(UPPER(AA40),"B",""),"D",""))&gt;0,0,IF(AND(ISNUMBER(FIND("B",UPPER(AA40))),ISNUMBER(FIND("D",UPPER(AA40)))),AA4,AA4/2)))+IF(AB40="",0,IF(LEN(SUBSTITUTE(SUBSTITUTE(UPPER(AB40),"B",""),"C",""))&gt;0,0,IF(AND(ISNUMBER(FIND("B",UPPER(AB40))),ISNUMBER(FIND("C",UPPER(AB40)))),AB4,AB4/2)))+IF(UPPER(AC40)=UPPER(AC5),AC4,0)+IF(UPPER(AD40)=UPPER(AD5),AD4,0)+IF(UPPER(AE40)=UPPER(AE5),AE4,0)+IF(UPPER(AF40)=UPPER(AF5),AF4,0)+IF(UPPER(AG40)=UPPER(AG5),AG4,0)+IF(UPPER(AH40)=UPPER(AH5),AH4,0)+IF(AI40="",0,IF(LEN(SUBSTITUTE(SUBSTITUTE(UPPER(AI40),"B",""),"D",""))&gt;0,0,IF(AND(ISNUMBER(FIND("B",UPPER(AI40))),ISNUMBER(FIND("D",UPPER(AI40)))),AI4,AI4/2)))+IF(UPPER(AJ40)=UPPER(AJ5),AJ4,0)+IF(UPPER(AK40)=UPPER(AK5),AK4,0)+IF(UPPER(AL40)=UPPER(AL5),AL4,0)+IF(UPPER(AM40)=UPPER(AM5),AM4,0)+IF(AN40="",0,IF(LEN(SUBSTITUTE(SUBSTITUTE(UPPER(AN40),"B",""),"C",""))&gt;0,0,IF(AND(ISNUMBER(FIND("B",UPPER(AN40))),ISNUMBER(FIND("C",UPPER(AN40)))),AN4,AN4/2)))+IF(UPPER(AO40)=UPPER(AO5),AO4,0)+IF(UPPER(AP40)=UPPER(AP5),AP4,0)+IF(UPPER(AQ40)=UPPER(AQ5),AQ4,0)+IF(AR40="",0,IF(LEN(SUBSTITUTE(SUBSTITUTE(UPPER(AR40),"B",""),"C",""))&gt;0,0,IF(AND(ISNUMBER(FIND("B",UPPER(AR40))),ISNUMBER(FIND("C",UPPER(AR40)))),AR4,AR4/2)))</f>
        <v>95</v>
      </c>
      <c r="E40" s="13" t="s">
        <v>63</v>
      </c>
      <c r="F40" s="13" t="s">
        <v>60</v>
      </c>
      <c r="G40" s="13" t="s">
        <v>66</v>
      </c>
      <c r="H40" s="13" t="s">
        <v>60</v>
      </c>
      <c r="I40" s="13" t="s">
        <v>61</v>
      </c>
      <c r="J40" s="13" t="s">
        <v>61</v>
      </c>
      <c r="K40" s="13" t="s">
        <v>74</v>
      </c>
      <c r="L40" s="13" t="s">
        <v>63</v>
      </c>
      <c r="M40" s="13" t="s">
        <v>63</v>
      </c>
      <c r="N40" s="13" t="s">
        <v>64</v>
      </c>
      <c r="O40" s="13" t="s">
        <v>73</v>
      </c>
      <c r="P40" s="13" t="s">
        <v>61</v>
      </c>
      <c r="Q40" s="13" t="s">
        <v>60</v>
      </c>
      <c r="R40" s="13" t="s">
        <v>61</v>
      </c>
      <c r="S40" s="13" t="s">
        <v>64</v>
      </c>
      <c r="T40" s="13" t="s">
        <v>63</v>
      </c>
      <c r="U40" s="13" t="s">
        <v>74</v>
      </c>
      <c r="V40" s="13" t="s">
        <v>66</v>
      </c>
      <c r="W40" s="13" t="s">
        <v>63</v>
      </c>
      <c r="X40" s="13" t="s">
        <v>60</v>
      </c>
      <c r="Y40" s="13" t="s">
        <v>64</v>
      </c>
      <c r="Z40" s="13" t="s">
        <v>61</v>
      </c>
      <c r="AA40" s="13" t="s">
        <v>74</v>
      </c>
      <c r="AB40" s="13" t="s">
        <v>73</v>
      </c>
      <c r="AC40" s="13" t="s">
        <v>61</v>
      </c>
      <c r="AD40" s="13" t="s">
        <v>64</v>
      </c>
      <c r="AE40" s="13" t="s">
        <v>60</v>
      </c>
      <c r="AF40" s="13" t="s">
        <v>60</v>
      </c>
      <c r="AG40" s="13" t="s">
        <v>64</v>
      </c>
      <c r="AH40" s="13" t="s">
        <v>64</v>
      </c>
      <c r="AI40" s="13" t="s">
        <v>74</v>
      </c>
      <c r="AJ40" s="13" t="s">
        <v>64</v>
      </c>
      <c r="AK40" s="13" t="s">
        <v>63</v>
      </c>
      <c r="AL40" s="13" t="s">
        <v>64</v>
      </c>
      <c r="AM40" s="13" t="s">
        <v>63</v>
      </c>
      <c r="AN40" s="13" t="s">
        <v>73</v>
      </c>
      <c r="AO40" s="13" t="s">
        <v>60</v>
      </c>
      <c r="AP40" s="13" t="s">
        <v>63</v>
      </c>
      <c r="AQ40" s="13" t="s">
        <v>63</v>
      </c>
      <c r="AR40" s="13" t="s">
        <v>73</v>
      </c>
    </row>
    <row r="41" ht="15.75" customHeight="1">
      <c r="A41" s="10">
        <v>2.023901562E9</v>
      </c>
      <c r="B41" s="10" t="s">
        <v>241</v>
      </c>
      <c r="C41" s="10" t="s">
        <v>242</v>
      </c>
      <c r="D41" s="12">
        <f>IF(UPPER(E41)=UPPER(E5),E4,0)+IF(UPPER(F41)=UPPER(F5),F4,0)+IF(G41="",0,IF(LEN(SUBSTITUTE(SUBSTITUTE(UPPER(G41),"A",""),"D",""))&gt;0,0,IF(AND(ISNUMBER(FIND("A",UPPER(G41))),ISNUMBER(FIND("D",UPPER(G41)))),G4,G4/2)))+IF(UPPER(H41)=UPPER(H5),H4,0)+IF(UPPER(I41)=UPPER(I5),I4,0)+IF(UPPER(J41)=UPPER(J5),J4,0)+IF(K41="",0,IF(LEN(SUBSTITUTE(SUBSTITUTE(UPPER(K41),"B",""),"D",""))&gt;0,0,IF(AND(ISNUMBER(FIND("B",UPPER(K41))),ISNUMBER(FIND("D",UPPER(K41)))),K4,K4/2)))+IF(UPPER(L41)=UPPER(L5),L4,0)+IF(UPPER(M41)=UPPER(M5),M4,0)+IF(UPPER(N41)=UPPER(N5),N4,0)+IF(O41="",0,IF(LEN(SUBSTITUTE(SUBSTITUTE(UPPER(O41),"B",""),"C",""))&gt;0,0,IF(AND(ISNUMBER(FIND("B",UPPER(O41))),ISNUMBER(FIND("C",UPPER(O41)))),O4,O4/2)))+IF(UPPER(P41)=UPPER(P5),P4,0)+IF(UPPER(Q41)=UPPER(Q5),Q4,0)+IF(UPPER(R41)=UPPER(R5),R4,0)+IF(UPPER(S41)=UPPER(S5),S4,0)+IF(UPPER(T41)=UPPER(T5),T4,0)+IF(U41="",0,IF(LEN(SUBSTITUTE(SUBSTITUTE(UPPER(U41),"B",""),"D",""))&gt;0,0,IF(AND(ISNUMBER(FIND("B",UPPER(U41))),ISNUMBER(FIND("D",UPPER(U41)))),U4,U4/2)))+IF(V41="",0,IF(LEN(SUBSTITUTE(SUBSTITUTE(UPPER(V41),"A",""),"B",""))&gt;0,0,IF(AND(ISNUMBER(FIND("A",UPPER(V41))),ISNUMBER(FIND("B",UPPER(V41)))),V4,V4/2)))+IF(UPPER(W41)=UPPER(W5),W4,0)+IF(UPPER(X41)=UPPER(X5),X4,0)+IF(UPPER(Y41)=UPPER(Y5),Y4,0)+IF(UPPER(Z41)=UPPER(Z5),Z4,0)+IF(AA41="",0,IF(LEN(SUBSTITUTE(SUBSTITUTE(UPPER(AA41),"B",""),"D",""))&gt;0,0,IF(AND(ISNUMBER(FIND("B",UPPER(AA41))),ISNUMBER(FIND("D",UPPER(AA41)))),AA4,AA4/2)))+IF(AB41="",0,IF(LEN(SUBSTITUTE(SUBSTITUTE(UPPER(AB41),"B",""),"C",""))&gt;0,0,IF(AND(ISNUMBER(FIND("B",UPPER(AB41))),ISNUMBER(FIND("C",UPPER(AB41)))),AB4,AB4/2)))+IF(UPPER(AC41)=UPPER(AC5),AC4,0)+IF(UPPER(AD41)=UPPER(AD5),AD4,0)+IF(UPPER(AE41)=UPPER(AE5),AE4,0)+IF(UPPER(AF41)=UPPER(AF5),AF4,0)+IF(UPPER(AG41)=UPPER(AG5),AG4,0)+IF(UPPER(AH41)=UPPER(AH5),AH4,0)+IF(AI41="",0,IF(LEN(SUBSTITUTE(SUBSTITUTE(UPPER(AI41),"B",""),"D",""))&gt;0,0,IF(AND(ISNUMBER(FIND("B",UPPER(AI41))),ISNUMBER(FIND("D",UPPER(AI41)))),AI4,AI4/2)))+IF(UPPER(AJ41)=UPPER(AJ5),AJ4,0)+IF(UPPER(AK41)=UPPER(AK5),AK4,0)+IF(UPPER(AL41)=UPPER(AL5),AL4,0)+IF(UPPER(AM41)=UPPER(AM5),AM4,0)+IF(AN41="",0,IF(LEN(SUBSTITUTE(SUBSTITUTE(UPPER(AN41),"B",""),"C",""))&gt;0,0,IF(AND(ISNUMBER(FIND("B",UPPER(AN41))),ISNUMBER(FIND("C",UPPER(AN41)))),AN4,AN4/2)))+IF(UPPER(AO41)=UPPER(AO5),AO4,0)+IF(UPPER(AP41)=UPPER(AP5),AP4,0)+IF(UPPER(AQ41)=UPPER(AQ5),AQ4,0)+IF(AR41="",0,IF(LEN(SUBSTITUTE(SUBSTITUTE(UPPER(AR41),"B",""),"C",""))&gt;0,0,IF(AND(ISNUMBER(FIND("B",UPPER(AR41))),ISNUMBER(FIND("C",UPPER(AR41)))),AR4,AR4/2)))</f>
        <v>60</v>
      </c>
      <c r="E41" s="13" t="s">
        <v>63</v>
      </c>
      <c r="F41" s="13" t="s">
        <v>60</v>
      </c>
      <c r="G41" s="13" t="s">
        <v>67</v>
      </c>
      <c r="H41" s="13" t="s">
        <v>60</v>
      </c>
      <c r="I41" s="13" t="s">
        <v>64</v>
      </c>
      <c r="J41" s="13" t="s">
        <v>61</v>
      </c>
      <c r="K41" s="13" t="s">
        <v>74</v>
      </c>
      <c r="L41" s="13" t="s">
        <v>63</v>
      </c>
      <c r="M41" s="13" t="s">
        <v>60</v>
      </c>
      <c r="N41" s="13" t="s">
        <v>64</v>
      </c>
      <c r="O41" s="13" t="s">
        <v>125</v>
      </c>
      <c r="P41" s="13" t="s">
        <v>63</v>
      </c>
      <c r="Q41" s="13" t="s">
        <v>60</v>
      </c>
      <c r="R41" s="13" t="s">
        <v>60</v>
      </c>
      <c r="S41" s="13" t="s">
        <v>64</v>
      </c>
      <c r="T41" s="13" t="s">
        <v>64</v>
      </c>
      <c r="U41" s="13" t="s">
        <v>66</v>
      </c>
      <c r="V41" s="13" t="s">
        <v>66</v>
      </c>
      <c r="W41" s="13" t="s">
        <v>63</v>
      </c>
      <c r="X41" s="13" t="s">
        <v>63</v>
      </c>
      <c r="Y41" s="13" t="s">
        <v>61</v>
      </c>
      <c r="Z41" s="13" t="s">
        <v>60</v>
      </c>
      <c r="AA41" s="13" t="s">
        <v>74</v>
      </c>
      <c r="AB41" s="13" t="s">
        <v>70</v>
      </c>
      <c r="AC41" s="13" t="s">
        <v>61</v>
      </c>
      <c r="AD41" s="13" t="s">
        <v>64</v>
      </c>
      <c r="AE41" s="13" t="s">
        <v>60</v>
      </c>
      <c r="AF41" s="13" t="s">
        <v>60</v>
      </c>
      <c r="AG41" s="13" t="s">
        <v>64</v>
      </c>
      <c r="AH41" s="13" t="s">
        <v>64</v>
      </c>
      <c r="AI41" s="13" t="s">
        <v>74</v>
      </c>
      <c r="AJ41" s="13" t="s">
        <v>60</v>
      </c>
      <c r="AK41" s="13" t="s">
        <v>64</v>
      </c>
      <c r="AL41" s="13" t="s">
        <v>60</v>
      </c>
      <c r="AM41" s="13" t="s">
        <v>60</v>
      </c>
      <c r="AN41" s="13" t="s">
        <v>70</v>
      </c>
      <c r="AO41" s="13" t="s">
        <v>60</v>
      </c>
      <c r="AP41" s="13" t="s">
        <v>64</v>
      </c>
      <c r="AQ41" s="13" t="s">
        <v>63</v>
      </c>
      <c r="AR41" s="13" t="s">
        <v>73</v>
      </c>
    </row>
    <row r="42" ht="15.75" customHeight="1">
      <c r="A42" s="10">
        <v>2.023905941E9</v>
      </c>
      <c r="B42" s="10" t="s">
        <v>243</v>
      </c>
      <c r="C42" s="11" t="s">
        <v>244</v>
      </c>
      <c r="D42" s="12">
        <f>IF(UPPER(E42)=UPPER(E5),E4,0)+IF(UPPER(F42)=UPPER(F5),F4,0)+IF(G42="",0,IF(LEN(SUBSTITUTE(SUBSTITUTE(UPPER(G42),"A",""),"D",""))&gt;0,0,IF(AND(ISNUMBER(FIND("A",UPPER(G42))),ISNUMBER(FIND("D",UPPER(G42)))),G4,G4/2)))+IF(UPPER(H42)=UPPER(H5),H4,0)+IF(UPPER(I42)=UPPER(I5),I4,0)+IF(UPPER(J42)=UPPER(J5),J4,0)+IF(K42="",0,IF(LEN(SUBSTITUTE(SUBSTITUTE(UPPER(K42),"B",""),"D",""))&gt;0,0,IF(AND(ISNUMBER(FIND("B",UPPER(K42))),ISNUMBER(FIND("D",UPPER(K42)))),K4,K4/2)))+IF(UPPER(L42)=UPPER(L5),L4,0)+IF(UPPER(M42)=UPPER(M5),M4,0)+IF(UPPER(N42)=UPPER(N5),N4,0)+IF(O42="",0,IF(LEN(SUBSTITUTE(SUBSTITUTE(UPPER(O42),"B",""),"C",""))&gt;0,0,IF(AND(ISNUMBER(FIND("B",UPPER(O42))),ISNUMBER(FIND("C",UPPER(O42)))),O4,O4/2)))+IF(UPPER(P42)=UPPER(P5),P4,0)+IF(UPPER(Q42)=UPPER(Q5),Q4,0)+IF(UPPER(R42)=UPPER(R5),R4,0)+IF(UPPER(S42)=UPPER(S5),S4,0)+IF(UPPER(T42)=UPPER(T5),T4,0)+IF(U42="",0,IF(LEN(SUBSTITUTE(SUBSTITUTE(UPPER(U42),"B",""),"D",""))&gt;0,0,IF(AND(ISNUMBER(FIND("B",UPPER(U42))),ISNUMBER(FIND("D",UPPER(U42)))),U4,U4/2)))+IF(V42="",0,IF(LEN(SUBSTITUTE(SUBSTITUTE(UPPER(V42),"A",""),"B",""))&gt;0,0,IF(AND(ISNUMBER(FIND("A",UPPER(V42))),ISNUMBER(FIND("B",UPPER(V42)))),V4,V4/2)))+IF(UPPER(W42)=UPPER(W5),W4,0)+IF(UPPER(X42)=UPPER(X5),X4,0)+IF(UPPER(Y42)=UPPER(Y5),Y4,0)+IF(UPPER(Z42)=UPPER(Z5),Z4,0)+IF(AA42="",0,IF(LEN(SUBSTITUTE(SUBSTITUTE(UPPER(AA42),"B",""),"D",""))&gt;0,0,IF(AND(ISNUMBER(FIND("B",UPPER(AA42))),ISNUMBER(FIND("D",UPPER(AA42)))),AA4,AA4/2)))+IF(AB42="",0,IF(LEN(SUBSTITUTE(SUBSTITUTE(UPPER(AB42),"B",""),"C",""))&gt;0,0,IF(AND(ISNUMBER(FIND("B",UPPER(AB42))),ISNUMBER(FIND("C",UPPER(AB42)))),AB4,AB4/2)))+IF(UPPER(AC42)=UPPER(AC5),AC4,0)+IF(UPPER(AD42)=UPPER(AD5),AD4,0)+IF(UPPER(AE42)=UPPER(AE5),AE4,0)+IF(UPPER(AF42)=UPPER(AF5),AF4,0)+IF(UPPER(AG42)=UPPER(AG5),AG4,0)+IF(UPPER(AH42)=UPPER(AH5),AH4,0)+IF(AI42="",0,IF(LEN(SUBSTITUTE(SUBSTITUTE(UPPER(AI42),"B",""),"D",""))&gt;0,0,IF(AND(ISNUMBER(FIND("B",UPPER(AI42))),ISNUMBER(FIND("D",UPPER(AI42)))),AI4,AI4/2)))+IF(UPPER(AJ42)=UPPER(AJ5),AJ4,0)+IF(UPPER(AK42)=UPPER(AK5),AK4,0)+IF(UPPER(AL42)=UPPER(AL5),AL4,0)+IF(UPPER(AM42)=UPPER(AM5),AM4,0)+IF(AN42="",0,IF(LEN(SUBSTITUTE(SUBSTITUTE(UPPER(AN42),"B",""),"C",""))&gt;0,0,IF(AND(ISNUMBER(FIND("B",UPPER(AN42))),ISNUMBER(FIND("C",UPPER(AN42)))),AN4,AN4/2)))+IF(UPPER(AO42)=UPPER(AO5),AO4,0)+IF(UPPER(AP42)=UPPER(AP5),AP4,0)+IF(UPPER(AQ42)=UPPER(AQ5),AQ4,0)+IF(AR42="",0,IF(LEN(SUBSTITUTE(SUBSTITUTE(UPPER(AR42),"B",""),"C",""))&gt;0,0,IF(AND(ISNUMBER(FIND("B",UPPER(AR42))),ISNUMBER(FIND("C",UPPER(AR42)))),AR4,AR4/2)))</f>
        <v>67.5</v>
      </c>
      <c r="E42" s="13" t="s">
        <v>61</v>
      </c>
      <c r="F42" s="13" t="s">
        <v>60</v>
      </c>
      <c r="G42" s="13" t="s">
        <v>179</v>
      </c>
      <c r="H42" s="13" t="s">
        <v>60</v>
      </c>
      <c r="I42" s="13" t="s">
        <v>61</v>
      </c>
      <c r="J42" s="13" t="s">
        <v>61</v>
      </c>
      <c r="K42" s="13" t="s">
        <v>179</v>
      </c>
      <c r="L42" s="13" t="s">
        <v>60</v>
      </c>
      <c r="M42" s="13" t="s">
        <v>63</v>
      </c>
      <c r="N42" s="13" t="s">
        <v>64</v>
      </c>
      <c r="O42" s="13" t="s">
        <v>73</v>
      </c>
      <c r="P42" s="13" t="s">
        <v>63</v>
      </c>
      <c r="Q42" s="13" t="s">
        <v>60</v>
      </c>
      <c r="R42" s="13" t="s">
        <v>61</v>
      </c>
      <c r="S42" s="13" t="s">
        <v>64</v>
      </c>
      <c r="T42" s="13" t="s">
        <v>63</v>
      </c>
      <c r="U42" s="13" t="s">
        <v>125</v>
      </c>
      <c r="V42" s="13" t="s">
        <v>66</v>
      </c>
      <c r="W42" s="13" t="s">
        <v>63</v>
      </c>
      <c r="X42" s="13" t="s">
        <v>63</v>
      </c>
      <c r="Y42" s="13" t="s">
        <v>61</v>
      </c>
      <c r="Z42" s="13" t="s">
        <v>61</v>
      </c>
      <c r="AA42" s="13" t="s">
        <v>125</v>
      </c>
      <c r="AB42" s="13" t="s">
        <v>74</v>
      </c>
      <c r="AC42" s="13" t="s">
        <v>61</v>
      </c>
      <c r="AD42" s="13" t="s">
        <v>64</v>
      </c>
      <c r="AE42" s="13" t="s">
        <v>60</v>
      </c>
      <c r="AF42" s="13" t="s">
        <v>60</v>
      </c>
      <c r="AG42" s="13" t="s">
        <v>64</v>
      </c>
      <c r="AH42" s="13" t="s">
        <v>64</v>
      </c>
      <c r="AI42" s="13" t="s">
        <v>179</v>
      </c>
      <c r="AJ42" s="13" t="s">
        <v>64</v>
      </c>
      <c r="AK42" s="13" t="s">
        <v>63</v>
      </c>
      <c r="AL42" s="13" t="s">
        <v>61</v>
      </c>
      <c r="AM42" s="13" t="s">
        <v>63</v>
      </c>
      <c r="AN42" s="13" t="s">
        <v>73</v>
      </c>
      <c r="AO42" s="13" t="s">
        <v>63</v>
      </c>
      <c r="AP42" s="13" t="s">
        <v>63</v>
      </c>
      <c r="AQ42" s="13" t="s">
        <v>64</v>
      </c>
      <c r="AR42" s="13" t="s">
        <v>73</v>
      </c>
    </row>
    <row r="43" ht="15.75" customHeight="1">
      <c r="A43" s="10">
        <v>2.023901705E9</v>
      </c>
      <c r="B43" s="10" t="s">
        <v>245</v>
      </c>
      <c r="C43" s="10" t="s">
        <v>246</v>
      </c>
      <c r="D43" s="12">
        <f>IF(UPPER(E43)=UPPER(E5),E4,0)+IF(UPPER(F43)=UPPER(F5),F4,0)+IF(G43="",0,IF(LEN(SUBSTITUTE(SUBSTITUTE(UPPER(G43),"A",""),"D",""))&gt;0,0,IF(AND(ISNUMBER(FIND("A",UPPER(G43))),ISNUMBER(FIND("D",UPPER(G43)))),G4,G4/2)))+IF(UPPER(H43)=UPPER(H5),H4,0)+IF(UPPER(I43)=UPPER(I5),I4,0)+IF(UPPER(J43)=UPPER(J5),J4,0)+IF(K43="",0,IF(LEN(SUBSTITUTE(SUBSTITUTE(UPPER(K43),"B",""),"D",""))&gt;0,0,IF(AND(ISNUMBER(FIND("B",UPPER(K43))),ISNUMBER(FIND("D",UPPER(K43)))),K4,K4/2)))+IF(UPPER(L43)=UPPER(L5),L4,0)+IF(UPPER(M43)=UPPER(M5),M4,0)+IF(UPPER(N43)=UPPER(N5),N4,0)+IF(O43="",0,IF(LEN(SUBSTITUTE(SUBSTITUTE(UPPER(O43),"B",""),"C",""))&gt;0,0,IF(AND(ISNUMBER(FIND("B",UPPER(O43))),ISNUMBER(FIND("C",UPPER(O43)))),O4,O4/2)))+IF(UPPER(P43)=UPPER(P5),P4,0)+IF(UPPER(Q43)=UPPER(Q5),Q4,0)+IF(UPPER(R43)=UPPER(R5),R4,0)+IF(UPPER(S43)=UPPER(S5),S4,0)+IF(UPPER(T43)=UPPER(T5),T4,0)+IF(U43="",0,IF(LEN(SUBSTITUTE(SUBSTITUTE(UPPER(U43),"B",""),"D",""))&gt;0,0,IF(AND(ISNUMBER(FIND("B",UPPER(U43))),ISNUMBER(FIND("D",UPPER(U43)))),U4,U4/2)))+IF(V43="",0,IF(LEN(SUBSTITUTE(SUBSTITUTE(UPPER(V43),"A",""),"B",""))&gt;0,0,IF(AND(ISNUMBER(FIND("A",UPPER(V43))),ISNUMBER(FIND("B",UPPER(V43)))),V4,V4/2)))+IF(UPPER(W43)=UPPER(W5),W4,0)+IF(UPPER(X43)=UPPER(X5),X4,0)+IF(UPPER(Y43)=UPPER(Y5),Y4,0)+IF(UPPER(Z43)=UPPER(Z5),Z4,0)+IF(AA43="",0,IF(LEN(SUBSTITUTE(SUBSTITUTE(UPPER(AA43),"B",""),"D",""))&gt;0,0,IF(AND(ISNUMBER(FIND("B",UPPER(AA43))),ISNUMBER(FIND("D",UPPER(AA43)))),AA4,AA4/2)))+IF(AB43="",0,IF(LEN(SUBSTITUTE(SUBSTITUTE(UPPER(AB43),"B",""),"C",""))&gt;0,0,IF(AND(ISNUMBER(FIND("B",UPPER(AB43))),ISNUMBER(FIND("C",UPPER(AB43)))),AB4,AB4/2)))+IF(UPPER(AC43)=UPPER(AC5),AC4,0)+IF(UPPER(AD43)=UPPER(AD5),AD4,0)+IF(UPPER(AE43)=UPPER(AE5),AE4,0)+IF(UPPER(AF43)=UPPER(AF5),AF4,0)+IF(UPPER(AG43)=UPPER(AG5),AG4,0)+IF(UPPER(AH43)=UPPER(AH5),AH4,0)+IF(AI43="",0,IF(LEN(SUBSTITUTE(SUBSTITUTE(UPPER(AI43),"B",""),"D",""))&gt;0,0,IF(AND(ISNUMBER(FIND("B",UPPER(AI43))),ISNUMBER(FIND("D",UPPER(AI43)))),AI4,AI4/2)))+IF(UPPER(AJ43)=UPPER(AJ5),AJ4,0)+IF(UPPER(AK43)=UPPER(AK5),AK4,0)+IF(UPPER(AL43)=UPPER(AL5),AL4,0)+IF(UPPER(AM43)=UPPER(AM5),AM4,0)+IF(AN43="",0,IF(LEN(SUBSTITUTE(SUBSTITUTE(UPPER(AN43),"B",""),"C",""))&gt;0,0,IF(AND(ISNUMBER(FIND("B",UPPER(AN43))),ISNUMBER(FIND("C",UPPER(AN43)))),AN4,AN4/2)))+IF(UPPER(AO43)=UPPER(AO5),AO4,0)+IF(UPPER(AP43)=UPPER(AP5),AP4,0)+IF(UPPER(AQ43)=UPPER(AQ5),AQ4,0)+IF(AR43="",0,IF(LEN(SUBSTITUTE(SUBSTITUTE(UPPER(AR43),"B",""),"C",""))&gt;0,0,IF(AND(ISNUMBER(FIND("B",UPPER(AR43))),ISNUMBER(FIND("C",UPPER(AR43)))),AR4,AR4/2)))</f>
        <v>100</v>
      </c>
      <c r="E43" s="13" t="s">
        <v>63</v>
      </c>
      <c r="F43" s="13" t="s">
        <v>60</v>
      </c>
      <c r="G43" s="13" t="s">
        <v>67</v>
      </c>
      <c r="H43" s="13" t="s">
        <v>60</v>
      </c>
      <c r="I43" s="13" t="s">
        <v>61</v>
      </c>
      <c r="J43" s="13" t="s">
        <v>61</v>
      </c>
      <c r="K43" s="13" t="s">
        <v>74</v>
      </c>
      <c r="L43" s="13" t="s">
        <v>63</v>
      </c>
      <c r="M43" s="13" t="s">
        <v>63</v>
      </c>
      <c r="N43" s="13" t="s">
        <v>64</v>
      </c>
      <c r="O43" s="13" t="s">
        <v>73</v>
      </c>
      <c r="P43" s="13" t="s">
        <v>61</v>
      </c>
      <c r="Q43" s="13" t="s">
        <v>60</v>
      </c>
      <c r="R43" s="13" t="s">
        <v>61</v>
      </c>
      <c r="S43" s="13" t="s">
        <v>64</v>
      </c>
      <c r="T43" s="13" t="s">
        <v>63</v>
      </c>
      <c r="U43" s="13" t="s">
        <v>74</v>
      </c>
      <c r="V43" s="13" t="s">
        <v>66</v>
      </c>
      <c r="W43" s="13" t="s">
        <v>63</v>
      </c>
      <c r="X43" s="13" t="s">
        <v>60</v>
      </c>
      <c r="Y43" s="13" t="s">
        <v>61</v>
      </c>
      <c r="Z43" s="13" t="s">
        <v>61</v>
      </c>
      <c r="AA43" s="13" t="s">
        <v>74</v>
      </c>
      <c r="AB43" s="13" t="s">
        <v>73</v>
      </c>
      <c r="AC43" s="13" t="s">
        <v>61</v>
      </c>
      <c r="AD43" s="13" t="s">
        <v>64</v>
      </c>
      <c r="AE43" s="13" t="s">
        <v>60</v>
      </c>
      <c r="AF43" s="13" t="s">
        <v>60</v>
      </c>
      <c r="AG43" s="13" t="s">
        <v>64</v>
      </c>
      <c r="AH43" s="13" t="s">
        <v>64</v>
      </c>
      <c r="AI43" s="13" t="s">
        <v>74</v>
      </c>
      <c r="AJ43" s="13" t="s">
        <v>64</v>
      </c>
      <c r="AK43" s="13" t="s">
        <v>63</v>
      </c>
      <c r="AL43" s="13" t="s">
        <v>64</v>
      </c>
      <c r="AM43" s="13" t="s">
        <v>63</v>
      </c>
      <c r="AN43" s="13" t="s">
        <v>73</v>
      </c>
      <c r="AO43" s="13" t="s">
        <v>60</v>
      </c>
      <c r="AP43" s="13" t="s">
        <v>63</v>
      </c>
      <c r="AQ43" s="13" t="s">
        <v>63</v>
      </c>
      <c r="AR43" s="13" t="s">
        <v>73</v>
      </c>
    </row>
    <row r="44" ht="15.75" customHeight="1">
      <c r="A44" s="10">
        <v>2.023905316E9</v>
      </c>
      <c r="B44" s="10" t="s">
        <v>247</v>
      </c>
      <c r="C44" s="10" t="s">
        <v>248</v>
      </c>
      <c r="D44" s="12">
        <f>IF(UPPER(E44)=UPPER(E5),E4,0)+IF(UPPER(F44)=UPPER(F5),F4,0)+IF(G44="",0,IF(LEN(SUBSTITUTE(SUBSTITUTE(UPPER(G44),"A",""),"D",""))&gt;0,0,IF(AND(ISNUMBER(FIND("A",UPPER(G44))),ISNUMBER(FIND("D",UPPER(G44)))),G4,G4/2)))+IF(UPPER(H44)=UPPER(H5),H4,0)+IF(UPPER(I44)=UPPER(I5),I4,0)+IF(UPPER(J44)=UPPER(J5),J4,0)+IF(K44="",0,IF(LEN(SUBSTITUTE(SUBSTITUTE(UPPER(K44),"B",""),"D",""))&gt;0,0,IF(AND(ISNUMBER(FIND("B",UPPER(K44))),ISNUMBER(FIND("D",UPPER(K44)))),K4,K4/2)))+IF(UPPER(L44)=UPPER(L5),L4,0)+IF(UPPER(M44)=UPPER(M5),M4,0)+IF(UPPER(N44)=UPPER(N5),N4,0)+IF(O44="",0,IF(LEN(SUBSTITUTE(SUBSTITUTE(UPPER(O44),"B",""),"C",""))&gt;0,0,IF(AND(ISNUMBER(FIND("B",UPPER(O44))),ISNUMBER(FIND("C",UPPER(O44)))),O4,O4/2)))+IF(UPPER(P44)=UPPER(P5),P4,0)+IF(UPPER(Q44)=UPPER(Q5),Q4,0)+IF(UPPER(R44)=UPPER(R5),R4,0)+IF(UPPER(S44)=UPPER(S5),S4,0)+IF(UPPER(T44)=UPPER(T5),T4,0)+IF(U44="",0,IF(LEN(SUBSTITUTE(SUBSTITUTE(UPPER(U44),"B",""),"D",""))&gt;0,0,IF(AND(ISNUMBER(FIND("B",UPPER(U44))),ISNUMBER(FIND("D",UPPER(U44)))),U4,U4/2)))+IF(V44="",0,IF(LEN(SUBSTITUTE(SUBSTITUTE(UPPER(V44),"A",""),"B",""))&gt;0,0,IF(AND(ISNUMBER(FIND("A",UPPER(V44))),ISNUMBER(FIND("B",UPPER(V44)))),V4,V4/2)))+IF(UPPER(W44)=UPPER(W5),W4,0)+IF(UPPER(X44)=UPPER(X5),X4,0)+IF(UPPER(Y44)=UPPER(Y5),Y4,0)+IF(UPPER(Z44)=UPPER(Z5),Z4,0)+IF(AA44="",0,IF(LEN(SUBSTITUTE(SUBSTITUTE(UPPER(AA44),"B",""),"D",""))&gt;0,0,IF(AND(ISNUMBER(FIND("B",UPPER(AA44))),ISNUMBER(FIND("D",UPPER(AA44)))),AA4,AA4/2)))+IF(AB44="",0,IF(LEN(SUBSTITUTE(SUBSTITUTE(UPPER(AB44),"B",""),"C",""))&gt;0,0,IF(AND(ISNUMBER(FIND("B",UPPER(AB44))),ISNUMBER(FIND("C",UPPER(AB44)))),AB4,AB4/2)))+IF(UPPER(AC44)=UPPER(AC5),AC4,0)+IF(UPPER(AD44)=UPPER(AD5),AD4,0)+IF(UPPER(AE44)=UPPER(AE5),AE4,0)+IF(UPPER(AF44)=UPPER(AF5),AF4,0)+IF(UPPER(AG44)=UPPER(AG5),AG4,0)+IF(UPPER(AH44)=UPPER(AH5),AH4,0)+IF(AI44="",0,IF(LEN(SUBSTITUTE(SUBSTITUTE(UPPER(AI44),"B",""),"D",""))&gt;0,0,IF(AND(ISNUMBER(FIND("B",UPPER(AI44))),ISNUMBER(FIND("D",UPPER(AI44)))),AI4,AI4/2)))+IF(UPPER(AJ44)=UPPER(AJ5),AJ4,0)+IF(UPPER(AK44)=UPPER(AK5),AK4,0)+IF(UPPER(AL44)=UPPER(AL5),AL4,0)+IF(UPPER(AM44)=UPPER(AM5),AM4,0)+IF(AN44="",0,IF(LEN(SUBSTITUTE(SUBSTITUTE(UPPER(AN44),"B",""),"C",""))&gt;0,0,IF(AND(ISNUMBER(FIND("B",UPPER(AN44))),ISNUMBER(FIND("C",UPPER(AN44)))),AN4,AN4/2)))+IF(UPPER(AO44)=UPPER(AO5),AO4,0)+IF(UPPER(AP44)=UPPER(AP5),AP4,0)+IF(UPPER(AQ44)=UPPER(AQ5),AQ4,0)+IF(AR44="",0,IF(LEN(SUBSTITUTE(SUBSTITUTE(UPPER(AR44),"B",""),"C",""))&gt;0,0,IF(AND(ISNUMBER(FIND("B",UPPER(AR44))),ISNUMBER(FIND("C",UPPER(AR44)))),AR4,AR4/2)))</f>
        <v>97.5</v>
      </c>
      <c r="E44" s="13" t="s">
        <v>63</v>
      </c>
      <c r="F44" s="13" t="s">
        <v>60</v>
      </c>
      <c r="G44" s="13" t="s">
        <v>67</v>
      </c>
      <c r="H44" s="13" t="s">
        <v>60</v>
      </c>
      <c r="I44" s="13" t="s">
        <v>61</v>
      </c>
      <c r="J44" s="13" t="s">
        <v>61</v>
      </c>
      <c r="K44" s="13" t="s">
        <v>74</v>
      </c>
      <c r="L44" s="13" t="s">
        <v>63</v>
      </c>
      <c r="M44" s="13" t="s">
        <v>63</v>
      </c>
      <c r="N44" s="13" t="s">
        <v>64</v>
      </c>
      <c r="O44" s="13" t="s">
        <v>73</v>
      </c>
      <c r="P44" s="13" t="s">
        <v>61</v>
      </c>
      <c r="Q44" s="13" t="s">
        <v>60</v>
      </c>
      <c r="R44" s="13" t="s">
        <v>61</v>
      </c>
      <c r="S44" s="13" t="s">
        <v>64</v>
      </c>
      <c r="T44" s="13" t="s">
        <v>63</v>
      </c>
      <c r="U44" s="13" t="s">
        <v>74</v>
      </c>
      <c r="V44" s="13" t="s">
        <v>66</v>
      </c>
      <c r="W44" s="13" t="s">
        <v>63</v>
      </c>
      <c r="X44" s="13" t="s">
        <v>60</v>
      </c>
      <c r="Y44" s="13" t="s">
        <v>61</v>
      </c>
      <c r="Z44" s="13" t="s">
        <v>61</v>
      </c>
      <c r="AA44" s="13" t="s">
        <v>74</v>
      </c>
      <c r="AB44" s="13" t="s">
        <v>73</v>
      </c>
      <c r="AC44" s="13" t="s">
        <v>64</v>
      </c>
      <c r="AD44" s="13" t="s">
        <v>64</v>
      </c>
      <c r="AE44" s="13" t="s">
        <v>60</v>
      </c>
      <c r="AF44" s="13" t="s">
        <v>60</v>
      </c>
      <c r="AG44" s="13" t="s">
        <v>64</v>
      </c>
      <c r="AH44" s="13" t="s">
        <v>64</v>
      </c>
      <c r="AI44" s="13" t="s">
        <v>74</v>
      </c>
      <c r="AJ44" s="13" t="s">
        <v>64</v>
      </c>
      <c r="AK44" s="13" t="s">
        <v>63</v>
      </c>
      <c r="AL44" s="13" t="s">
        <v>64</v>
      </c>
      <c r="AM44" s="13" t="s">
        <v>63</v>
      </c>
      <c r="AN44" s="13" t="s">
        <v>73</v>
      </c>
      <c r="AO44" s="13" t="s">
        <v>60</v>
      </c>
      <c r="AP44" s="13" t="s">
        <v>63</v>
      </c>
      <c r="AQ44" s="13" t="s">
        <v>63</v>
      </c>
      <c r="AR44" s="13" t="s">
        <v>73</v>
      </c>
    </row>
    <row r="45" ht="15.75" customHeight="1">
      <c r="A45" s="10">
        <v>2.023900901E9</v>
      </c>
      <c r="B45" s="10" t="s">
        <v>249</v>
      </c>
      <c r="C45" s="10" t="s">
        <v>250</v>
      </c>
      <c r="D45" s="12">
        <f>IF(UPPER(E45)=UPPER(E5),E4,0)+IF(UPPER(F45)=UPPER(F5),F4,0)+IF(G45="",0,IF(LEN(SUBSTITUTE(SUBSTITUTE(UPPER(G45),"A",""),"D",""))&gt;0,0,IF(AND(ISNUMBER(FIND("A",UPPER(G45))),ISNUMBER(FIND("D",UPPER(G45)))),G4,G4/2)))+IF(UPPER(H45)=UPPER(H5),H4,0)+IF(UPPER(I45)=UPPER(I5),I4,0)+IF(UPPER(J45)=UPPER(J5),J4,0)+IF(K45="",0,IF(LEN(SUBSTITUTE(SUBSTITUTE(UPPER(K45),"B",""),"D",""))&gt;0,0,IF(AND(ISNUMBER(FIND("B",UPPER(K45))),ISNUMBER(FIND("D",UPPER(K45)))),K4,K4/2)))+IF(UPPER(L45)=UPPER(L5),L4,0)+IF(UPPER(M45)=UPPER(M5),M4,0)+IF(UPPER(N45)=UPPER(N5),N4,0)+IF(O45="",0,IF(LEN(SUBSTITUTE(SUBSTITUTE(UPPER(O45),"B",""),"C",""))&gt;0,0,IF(AND(ISNUMBER(FIND("B",UPPER(O45))),ISNUMBER(FIND("C",UPPER(O45)))),O4,O4/2)))+IF(UPPER(P45)=UPPER(P5),P4,0)+IF(UPPER(Q45)=UPPER(Q5),Q4,0)+IF(UPPER(R45)=UPPER(R5),R4,0)+IF(UPPER(S45)=UPPER(S5),S4,0)+IF(UPPER(T45)=UPPER(T5),T4,0)+IF(U45="",0,IF(LEN(SUBSTITUTE(SUBSTITUTE(UPPER(U45),"B",""),"D",""))&gt;0,0,IF(AND(ISNUMBER(FIND("B",UPPER(U45))),ISNUMBER(FIND("D",UPPER(U45)))),U4,U4/2)))+IF(V45="",0,IF(LEN(SUBSTITUTE(SUBSTITUTE(UPPER(V45),"A",""),"B",""))&gt;0,0,IF(AND(ISNUMBER(FIND("A",UPPER(V45))),ISNUMBER(FIND("B",UPPER(V45)))),V4,V4/2)))+IF(UPPER(W45)=UPPER(W5),W4,0)+IF(UPPER(X45)=UPPER(X5),X4,0)+IF(UPPER(Y45)=UPPER(Y5),Y4,0)+IF(UPPER(Z45)=UPPER(Z5),Z4,0)+IF(AA45="",0,IF(LEN(SUBSTITUTE(SUBSTITUTE(UPPER(AA45),"B",""),"D",""))&gt;0,0,IF(AND(ISNUMBER(FIND("B",UPPER(AA45))),ISNUMBER(FIND("D",UPPER(AA45)))),AA4,AA4/2)))+IF(AB45="",0,IF(LEN(SUBSTITUTE(SUBSTITUTE(UPPER(AB45),"B",""),"C",""))&gt;0,0,IF(AND(ISNUMBER(FIND("B",UPPER(AB45))),ISNUMBER(FIND("C",UPPER(AB45)))),AB4,AB4/2)))+IF(UPPER(AC45)=UPPER(AC5),AC4,0)+IF(UPPER(AD45)=UPPER(AD5),AD4,0)+IF(UPPER(AE45)=UPPER(AE5),AE4,0)+IF(UPPER(AF45)=UPPER(AF5),AF4,0)+IF(UPPER(AG45)=UPPER(AG5),AG4,0)+IF(UPPER(AH45)=UPPER(AH5),AH4,0)+IF(AI45="",0,IF(LEN(SUBSTITUTE(SUBSTITUTE(UPPER(AI45),"B",""),"D",""))&gt;0,0,IF(AND(ISNUMBER(FIND("B",UPPER(AI45))),ISNUMBER(FIND("D",UPPER(AI45)))),AI4,AI4/2)))+IF(UPPER(AJ45)=UPPER(AJ5),AJ4,0)+IF(UPPER(AK45)=UPPER(AK5),AK4,0)+IF(UPPER(AL45)=UPPER(AL5),AL4,0)+IF(UPPER(AM45)=UPPER(AM5),AM4,0)+IF(AN45="",0,IF(LEN(SUBSTITUTE(SUBSTITUTE(UPPER(AN45),"B",""),"C",""))&gt;0,0,IF(AND(ISNUMBER(FIND("B",UPPER(AN45))),ISNUMBER(FIND("C",UPPER(AN45)))),AN4,AN4/2)))+IF(UPPER(AO45)=UPPER(AO5),AO4,0)+IF(UPPER(AP45)=UPPER(AP5),AP4,0)+IF(UPPER(AQ45)=UPPER(AQ5),AQ4,0)+IF(AR45="",0,IF(LEN(SUBSTITUTE(SUBSTITUTE(UPPER(AR45),"B",""),"C",""))&gt;0,0,IF(AND(ISNUMBER(FIND("B",UPPER(AR45))),ISNUMBER(FIND("C",UPPER(AR45)))),AR4,AR4/2)))</f>
        <v>88.75</v>
      </c>
      <c r="E45" s="13" t="s">
        <v>63</v>
      </c>
      <c r="F45" s="13" t="s">
        <v>60</v>
      </c>
      <c r="G45" s="13" t="s">
        <v>61</v>
      </c>
      <c r="H45" s="13" t="s">
        <v>61</v>
      </c>
      <c r="I45" s="13" t="s">
        <v>61</v>
      </c>
      <c r="J45" s="13" t="s">
        <v>61</v>
      </c>
      <c r="K45" s="13" t="s">
        <v>74</v>
      </c>
      <c r="L45" s="13" t="s">
        <v>63</v>
      </c>
      <c r="M45" s="13" t="s">
        <v>63</v>
      </c>
      <c r="N45" s="13" t="s">
        <v>64</v>
      </c>
      <c r="O45" s="13" t="s">
        <v>73</v>
      </c>
      <c r="P45" s="13" t="s">
        <v>61</v>
      </c>
      <c r="Q45" s="13" t="s">
        <v>60</v>
      </c>
      <c r="R45" s="13" t="s">
        <v>61</v>
      </c>
      <c r="S45" s="13" t="s">
        <v>64</v>
      </c>
      <c r="T45" s="13" t="s">
        <v>63</v>
      </c>
      <c r="U45" s="13" t="s">
        <v>74</v>
      </c>
      <c r="V45" s="13" t="s">
        <v>66</v>
      </c>
      <c r="W45" s="13" t="s">
        <v>63</v>
      </c>
      <c r="X45" s="13" t="s">
        <v>60</v>
      </c>
      <c r="Y45" s="13" t="s">
        <v>61</v>
      </c>
      <c r="Z45" s="13" t="s">
        <v>61</v>
      </c>
      <c r="AA45" s="13" t="s">
        <v>74</v>
      </c>
      <c r="AB45" s="13" t="s">
        <v>60</v>
      </c>
      <c r="AC45" s="13" t="s">
        <v>61</v>
      </c>
      <c r="AD45" s="13" t="s">
        <v>64</v>
      </c>
      <c r="AE45" s="13" t="s">
        <v>60</v>
      </c>
      <c r="AF45" s="13" t="s">
        <v>60</v>
      </c>
      <c r="AG45" s="13" t="s">
        <v>64</v>
      </c>
      <c r="AH45" s="13" t="s">
        <v>64</v>
      </c>
      <c r="AI45" s="13" t="s">
        <v>66</v>
      </c>
      <c r="AJ45" s="13" t="s">
        <v>64</v>
      </c>
      <c r="AK45" s="13" t="s">
        <v>63</v>
      </c>
      <c r="AL45" s="13" t="s">
        <v>64</v>
      </c>
      <c r="AM45" s="13" t="s">
        <v>63</v>
      </c>
      <c r="AN45" s="13" t="s">
        <v>63</v>
      </c>
      <c r="AO45" s="13" t="s">
        <v>60</v>
      </c>
      <c r="AP45" s="13" t="s">
        <v>64</v>
      </c>
      <c r="AQ45" s="13" t="s">
        <v>63</v>
      </c>
      <c r="AR45" s="13" t="s">
        <v>73</v>
      </c>
    </row>
    <row r="46" ht="15.75" customHeight="1">
      <c r="A46" s="10">
        <v>2.023901697E9</v>
      </c>
      <c r="B46" s="10" t="s">
        <v>251</v>
      </c>
      <c r="C46" s="10" t="s">
        <v>252</v>
      </c>
      <c r="D46" s="12">
        <f>IF(UPPER(E46)=UPPER(E5),E4,0)+IF(UPPER(F46)=UPPER(F5),F4,0)+IF(G46="",0,IF(LEN(SUBSTITUTE(SUBSTITUTE(UPPER(G46),"A",""),"D",""))&gt;0,0,IF(AND(ISNUMBER(FIND("A",UPPER(G46))),ISNUMBER(FIND("D",UPPER(G46)))),G4,G4/2)))+IF(UPPER(H46)=UPPER(H5),H4,0)+IF(UPPER(I46)=UPPER(I5),I4,0)+IF(UPPER(J46)=UPPER(J5),J4,0)+IF(K46="",0,IF(LEN(SUBSTITUTE(SUBSTITUTE(UPPER(K46),"B",""),"D",""))&gt;0,0,IF(AND(ISNUMBER(FIND("B",UPPER(K46))),ISNUMBER(FIND("D",UPPER(K46)))),K4,K4/2)))+IF(UPPER(L46)=UPPER(L5),L4,0)+IF(UPPER(M46)=UPPER(M5),M4,0)+IF(UPPER(N46)=UPPER(N5),N4,0)+IF(O46="",0,IF(LEN(SUBSTITUTE(SUBSTITUTE(UPPER(O46),"B",""),"C",""))&gt;0,0,IF(AND(ISNUMBER(FIND("B",UPPER(O46))),ISNUMBER(FIND("C",UPPER(O46)))),O4,O4/2)))+IF(UPPER(P46)=UPPER(P5),P4,0)+IF(UPPER(Q46)=UPPER(Q5),Q4,0)+IF(UPPER(R46)=UPPER(R5),R4,0)+IF(UPPER(S46)=UPPER(S5),S4,0)+IF(UPPER(T46)=UPPER(T5),T4,0)+IF(U46="",0,IF(LEN(SUBSTITUTE(SUBSTITUTE(UPPER(U46),"B",""),"D",""))&gt;0,0,IF(AND(ISNUMBER(FIND("B",UPPER(U46))),ISNUMBER(FIND("D",UPPER(U46)))),U4,U4/2)))+IF(V46="",0,IF(LEN(SUBSTITUTE(SUBSTITUTE(UPPER(V46),"A",""),"B",""))&gt;0,0,IF(AND(ISNUMBER(FIND("A",UPPER(V46))),ISNUMBER(FIND("B",UPPER(V46)))),V4,V4/2)))+IF(UPPER(W46)=UPPER(W5),W4,0)+IF(UPPER(X46)=UPPER(X5),X4,0)+IF(UPPER(Y46)=UPPER(Y5),Y4,0)+IF(UPPER(Z46)=UPPER(Z5),Z4,0)+IF(AA46="",0,IF(LEN(SUBSTITUTE(SUBSTITUTE(UPPER(AA46),"B",""),"D",""))&gt;0,0,IF(AND(ISNUMBER(FIND("B",UPPER(AA46))),ISNUMBER(FIND("D",UPPER(AA46)))),AA4,AA4/2)))+IF(AB46="",0,IF(LEN(SUBSTITUTE(SUBSTITUTE(UPPER(AB46),"B",""),"C",""))&gt;0,0,IF(AND(ISNUMBER(FIND("B",UPPER(AB46))),ISNUMBER(FIND("C",UPPER(AB46)))),AB4,AB4/2)))+IF(UPPER(AC46)=UPPER(AC5),AC4,0)+IF(UPPER(AD46)=UPPER(AD5),AD4,0)+IF(UPPER(AE46)=UPPER(AE5),AE4,0)+IF(UPPER(AF46)=UPPER(AF5),AF4,0)+IF(UPPER(AG46)=UPPER(AG5),AG4,0)+IF(UPPER(AH46)=UPPER(AH5),AH4,0)+IF(AI46="",0,IF(LEN(SUBSTITUTE(SUBSTITUTE(UPPER(AI46),"B",""),"D",""))&gt;0,0,IF(AND(ISNUMBER(FIND("B",UPPER(AI46))),ISNUMBER(FIND("D",UPPER(AI46)))),AI4,AI4/2)))+IF(UPPER(AJ46)=UPPER(AJ5),AJ4,0)+IF(UPPER(AK46)=UPPER(AK5),AK4,0)+IF(UPPER(AL46)=UPPER(AL5),AL4,0)+IF(UPPER(AM46)=UPPER(AM5),AM4,0)+IF(AN46="",0,IF(LEN(SUBSTITUTE(SUBSTITUTE(UPPER(AN46),"B",""),"C",""))&gt;0,0,IF(AND(ISNUMBER(FIND("B",UPPER(AN46))),ISNUMBER(FIND("C",UPPER(AN46)))),AN4,AN4/2)))+IF(UPPER(AO46)=UPPER(AO5),AO4,0)+IF(UPPER(AP46)=UPPER(AP5),AP4,0)+IF(UPPER(AQ46)=UPPER(AQ5),AQ4,0)+IF(AR46="",0,IF(LEN(SUBSTITUTE(SUBSTITUTE(UPPER(AR46),"B",""),"C",""))&gt;0,0,IF(AND(ISNUMBER(FIND("B",UPPER(AR46))),ISNUMBER(FIND("C",UPPER(AR46)))),AR4,AR4/2)))</f>
        <v>87.5</v>
      </c>
      <c r="E46" s="13" t="s">
        <v>61</v>
      </c>
      <c r="F46" s="13" t="s">
        <v>60</v>
      </c>
      <c r="G46" s="13" t="s">
        <v>62</v>
      </c>
      <c r="H46" s="13" t="s">
        <v>60</v>
      </c>
      <c r="I46" s="13" t="s">
        <v>61</v>
      </c>
      <c r="J46" s="13" t="s">
        <v>61</v>
      </c>
      <c r="K46" s="13" t="s">
        <v>74</v>
      </c>
      <c r="L46" s="13" t="s">
        <v>63</v>
      </c>
      <c r="M46" s="13" t="s">
        <v>63</v>
      </c>
      <c r="N46" s="13" t="s">
        <v>64</v>
      </c>
      <c r="O46" s="13" t="s">
        <v>73</v>
      </c>
      <c r="P46" s="13" t="s">
        <v>61</v>
      </c>
      <c r="Q46" s="13" t="s">
        <v>60</v>
      </c>
      <c r="R46" s="13" t="s">
        <v>61</v>
      </c>
      <c r="S46" s="13" t="s">
        <v>64</v>
      </c>
      <c r="T46" s="13" t="s">
        <v>63</v>
      </c>
      <c r="U46" s="13" t="s">
        <v>74</v>
      </c>
      <c r="V46" s="13" t="s">
        <v>62</v>
      </c>
      <c r="W46" s="13" t="s">
        <v>63</v>
      </c>
      <c r="X46" s="13" t="s">
        <v>60</v>
      </c>
      <c r="Y46" s="13" t="s">
        <v>61</v>
      </c>
      <c r="Z46" s="13" t="s">
        <v>60</v>
      </c>
      <c r="AA46" s="13" t="s">
        <v>62</v>
      </c>
      <c r="AB46" s="13" t="s">
        <v>73</v>
      </c>
      <c r="AC46" s="13" t="s">
        <v>61</v>
      </c>
      <c r="AD46" s="13" t="s">
        <v>64</v>
      </c>
      <c r="AE46" s="13" t="s">
        <v>60</v>
      </c>
      <c r="AF46" s="13" t="s">
        <v>60</v>
      </c>
      <c r="AG46" s="13" t="s">
        <v>64</v>
      </c>
      <c r="AH46" s="13" t="s">
        <v>64</v>
      </c>
      <c r="AI46" s="13" t="s">
        <v>74</v>
      </c>
      <c r="AJ46" s="13" t="s">
        <v>64</v>
      </c>
      <c r="AK46" s="13" t="s">
        <v>63</v>
      </c>
      <c r="AL46" s="13" t="s">
        <v>64</v>
      </c>
      <c r="AM46" s="13" t="s">
        <v>63</v>
      </c>
      <c r="AN46" s="13" t="s">
        <v>73</v>
      </c>
      <c r="AO46" s="13" t="s">
        <v>60</v>
      </c>
      <c r="AP46" s="13" t="s">
        <v>63</v>
      </c>
      <c r="AQ46" s="13" t="s">
        <v>63</v>
      </c>
      <c r="AR46" s="13" t="s">
        <v>73</v>
      </c>
    </row>
    <row r="47" ht="15.75" customHeight="1">
      <c r="A47" s="10">
        <v>2.023900908E9</v>
      </c>
      <c r="B47" s="10" t="s">
        <v>253</v>
      </c>
      <c r="C47" s="10" t="s">
        <v>254</v>
      </c>
      <c r="D47" s="12">
        <f>IF(UPPER(E47)=UPPER(E5),E4,0)+IF(UPPER(F47)=UPPER(F5),F4,0)+IF(G47="",0,IF(LEN(SUBSTITUTE(SUBSTITUTE(UPPER(G47),"A",""),"D",""))&gt;0,0,IF(AND(ISNUMBER(FIND("A",UPPER(G47))),ISNUMBER(FIND("D",UPPER(G47)))),G4,G4/2)))+IF(UPPER(H47)=UPPER(H5),H4,0)+IF(UPPER(I47)=UPPER(I5),I4,0)+IF(UPPER(J47)=UPPER(J5),J4,0)+IF(K47="",0,IF(LEN(SUBSTITUTE(SUBSTITUTE(UPPER(K47),"B",""),"D",""))&gt;0,0,IF(AND(ISNUMBER(FIND("B",UPPER(K47))),ISNUMBER(FIND("D",UPPER(K47)))),K4,K4/2)))+IF(UPPER(L47)=UPPER(L5),L4,0)+IF(UPPER(M47)=UPPER(M5),M4,0)+IF(UPPER(N47)=UPPER(N5),N4,0)+IF(O47="",0,IF(LEN(SUBSTITUTE(SUBSTITUTE(UPPER(O47),"B",""),"C",""))&gt;0,0,IF(AND(ISNUMBER(FIND("B",UPPER(O47))),ISNUMBER(FIND("C",UPPER(O47)))),O4,O4/2)))+IF(UPPER(P47)=UPPER(P5),P4,0)+IF(UPPER(Q47)=UPPER(Q5),Q4,0)+IF(UPPER(R47)=UPPER(R5),R4,0)+IF(UPPER(S47)=UPPER(S5),S4,0)+IF(UPPER(T47)=UPPER(T5),T4,0)+IF(U47="",0,IF(LEN(SUBSTITUTE(SUBSTITUTE(UPPER(U47),"B",""),"D",""))&gt;0,0,IF(AND(ISNUMBER(FIND("B",UPPER(U47))),ISNUMBER(FIND("D",UPPER(U47)))),U4,U4/2)))+IF(V47="",0,IF(LEN(SUBSTITUTE(SUBSTITUTE(UPPER(V47),"A",""),"B",""))&gt;0,0,IF(AND(ISNUMBER(FIND("A",UPPER(V47))),ISNUMBER(FIND("B",UPPER(V47)))),V4,V4/2)))+IF(UPPER(W47)=UPPER(W5),W4,0)+IF(UPPER(X47)=UPPER(X5),X4,0)+IF(UPPER(Y47)=UPPER(Y5),Y4,0)+IF(UPPER(Z47)=UPPER(Z5),Z4,0)+IF(AA47="",0,IF(LEN(SUBSTITUTE(SUBSTITUTE(UPPER(AA47),"B",""),"D",""))&gt;0,0,IF(AND(ISNUMBER(FIND("B",UPPER(AA47))),ISNUMBER(FIND("D",UPPER(AA47)))),AA4,AA4/2)))+IF(AB47="",0,IF(LEN(SUBSTITUTE(SUBSTITUTE(UPPER(AB47),"B",""),"C",""))&gt;0,0,IF(AND(ISNUMBER(FIND("B",UPPER(AB47))),ISNUMBER(FIND("C",UPPER(AB47)))),AB4,AB4/2)))+IF(UPPER(AC47)=UPPER(AC5),AC4,0)+IF(UPPER(AD47)=UPPER(AD5),AD4,0)+IF(UPPER(AE47)=UPPER(AE5),AE4,0)+IF(UPPER(AF47)=UPPER(AF5),AF4,0)+IF(UPPER(AG47)=UPPER(AG5),AG4,0)+IF(UPPER(AH47)=UPPER(AH5),AH4,0)+IF(AI47="",0,IF(LEN(SUBSTITUTE(SUBSTITUTE(UPPER(AI47),"B",""),"D",""))&gt;0,0,IF(AND(ISNUMBER(FIND("B",UPPER(AI47))),ISNUMBER(FIND("D",UPPER(AI47)))),AI4,AI4/2)))+IF(UPPER(AJ47)=UPPER(AJ5),AJ4,0)+IF(UPPER(AK47)=UPPER(AK5),AK4,0)+IF(UPPER(AL47)=UPPER(AL5),AL4,0)+IF(UPPER(AM47)=UPPER(AM5),AM4,0)+IF(AN47="",0,IF(LEN(SUBSTITUTE(SUBSTITUTE(UPPER(AN47),"B",""),"C",""))&gt;0,0,IF(AND(ISNUMBER(FIND("B",UPPER(AN47))),ISNUMBER(FIND("C",UPPER(AN47)))),AN4,AN4/2)))+IF(UPPER(AO47)=UPPER(AO5),AO4,0)+IF(UPPER(AP47)=UPPER(AP5),AP4,0)+IF(UPPER(AQ47)=UPPER(AQ5),AQ4,0)+IF(AR47="",0,IF(LEN(SUBSTITUTE(SUBSTITUTE(UPPER(AR47),"B",""),"C",""))&gt;0,0,IF(AND(ISNUMBER(FIND("B",UPPER(AR47))),ISNUMBER(FIND("C",UPPER(AR47)))),AR4,AR4/2)))</f>
        <v>41.25</v>
      </c>
      <c r="E47" s="13" t="s">
        <v>64</v>
      </c>
      <c r="F47" s="13" t="s">
        <v>60</v>
      </c>
      <c r="G47" s="13" t="s">
        <v>61</v>
      </c>
      <c r="H47" s="13" t="s">
        <v>61</v>
      </c>
      <c r="I47" s="13" t="s">
        <v>61</v>
      </c>
      <c r="J47" s="13" t="s">
        <v>61</v>
      </c>
      <c r="K47" s="13" t="s">
        <v>64</v>
      </c>
      <c r="L47" s="13" t="s">
        <v>61</v>
      </c>
      <c r="M47" s="13" t="s">
        <v>63</v>
      </c>
      <c r="N47" s="13" t="s">
        <v>64</v>
      </c>
      <c r="O47" s="13" t="s">
        <v>62</v>
      </c>
      <c r="P47" s="13" t="s">
        <v>61</v>
      </c>
      <c r="Q47" s="13" t="s">
        <v>63</v>
      </c>
      <c r="R47" s="13" t="s">
        <v>61</v>
      </c>
      <c r="S47" s="13" t="s">
        <v>60</v>
      </c>
      <c r="T47" s="13" t="s">
        <v>64</v>
      </c>
      <c r="U47" s="13" t="s">
        <v>64</v>
      </c>
      <c r="V47" s="13" t="s">
        <v>64</v>
      </c>
      <c r="W47" s="13" t="s">
        <v>60</v>
      </c>
      <c r="X47" s="13" t="s">
        <v>60</v>
      </c>
      <c r="Y47" s="13" t="s">
        <v>63</v>
      </c>
      <c r="Z47" s="13" t="s">
        <v>63</v>
      </c>
      <c r="AA47" s="13" t="s">
        <v>60</v>
      </c>
      <c r="AB47" s="13" t="s">
        <v>60</v>
      </c>
      <c r="AC47" s="13" t="s">
        <v>63</v>
      </c>
      <c r="AD47" s="13" t="s">
        <v>64</v>
      </c>
      <c r="AE47" s="13" t="s">
        <v>60</v>
      </c>
      <c r="AF47" s="13" t="s">
        <v>64</v>
      </c>
      <c r="AG47" s="13" t="s">
        <v>63</v>
      </c>
      <c r="AH47" s="13" t="s">
        <v>64</v>
      </c>
      <c r="AI47" s="13" t="s">
        <v>60</v>
      </c>
      <c r="AJ47" s="13" t="s">
        <v>63</v>
      </c>
      <c r="AK47" s="13" t="s">
        <v>60</v>
      </c>
      <c r="AL47" s="13" t="s">
        <v>61</v>
      </c>
      <c r="AM47" s="13" t="s">
        <v>64</v>
      </c>
      <c r="AN47" s="13" t="s">
        <v>63</v>
      </c>
      <c r="AO47" s="13" t="s">
        <v>61</v>
      </c>
      <c r="AP47" s="13" t="s">
        <v>63</v>
      </c>
      <c r="AQ47" s="13" t="s">
        <v>60</v>
      </c>
      <c r="AR47" s="13" t="s">
        <v>73</v>
      </c>
    </row>
    <row r="48">
      <c r="A48" s="10">
        <v>2.023901699E9</v>
      </c>
      <c r="B48" s="10" t="s">
        <v>149</v>
      </c>
      <c r="C48" s="10" t="s">
        <v>255</v>
      </c>
      <c r="D48" s="12">
        <f>IF(UPPER(E48)=UPPER(E5),E4,0)+IF(UPPER(F48)=UPPER(F5),F4,0)+IF(G48="",0,IF(LEN(SUBSTITUTE(SUBSTITUTE(UPPER(G48),"A",""),"D",""))&gt;0,0,IF(AND(ISNUMBER(FIND("A",UPPER(G48))),ISNUMBER(FIND("D",UPPER(G48)))),G4,G4/2)))+IF(UPPER(H48)=UPPER(H5),H4,0)+IF(UPPER(I48)=UPPER(I5),I4,0)+IF(UPPER(J48)=UPPER(J5),J4,0)+IF(K48="",0,IF(LEN(SUBSTITUTE(SUBSTITUTE(UPPER(K48),"B",""),"D",""))&gt;0,0,IF(AND(ISNUMBER(FIND("B",UPPER(K48))),ISNUMBER(FIND("D",UPPER(K48)))),K4,K4/2)))+IF(UPPER(L48)=UPPER(L5),L4,0)+IF(UPPER(M48)=UPPER(M5),M4,0)+IF(UPPER(N48)=UPPER(N5),N4,0)+IF(O48="",0,IF(LEN(SUBSTITUTE(SUBSTITUTE(UPPER(O48),"B",""),"C",""))&gt;0,0,IF(AND(ISNUMBER(FIND("B",UPPER(O48))),ISNUMBER(FIND("C",UPPER(O48)))),O4,O4/2)))+IF(UPPER(P48)=UPPER(P5),P4,0)+IF(UPPER(Q48)=UPPER(Q5),Q4,0)+IF(UPPER(R48)=UPPER(R5),R4,0)+IF(UPPER(S48)=UPPER(S5),S4,0)+IF(UPPER(T48)=UPPER(T5),T4,0)+IF(U48="",0,IF(LEN(SUBSTITUTE(SUBSTITUTE(UPPER(U48),"B",""),"D",""))&gt;0,0,IF(AND(ISNUMBER(FIND("B",UPPER(U48))),ISNUMBER(FIND("D",UPPER(U48)))),U4,U4/2)))+IF(V48="",0,IF(LEN(SUBSTITUTE(SUBSTITUTE(UPPER(V48),"A",""),"B",""))&gt;0,0,IF(AND(ISNUMBER(FIND("A",UPPER(V48))),ISNUMBER(FIND("B",UPPER(V48)))),V4,V4/2)))+IF(UPPER(W48)=UPPER(W5),W4,0)+IF(UPPER(X48)=UPPER(X5),X4,0)+IF(UPPER(Y48)=UPPER(Y5),Y4,0)+IF(UPPER(Z48)=UPPER(Z5),Z4,0)+IF(AA48="",0,IF(LEN(SUBSTITUTE(SUBSTITUTE(UPPER(AA48),"B",""),"D",""))&gt;0,0,IF(AND(ISNUMBER(FIND("B",UPPER(AA48))),ISNUMBER(FIND("D",UPPER(AA48)))),AA4,AA4/2)))+IF(AB48="",0,IF(LEN(SUBSTITUTE(SUBSTITUTE(UPPER(AB48),"B",""),"C",""))&gt;0,0,IF(AND(ISNUMBER(FIND("B",UPPER(AB48))),ISNUMBER(FIND("C",UPPER(AB48)))),AB4,AB4/2)))+IF(UPPER(AC48)=UPPER(AC5),AC4,0)+IF(UPPER(AD48)=UPPER(AD5),AD4,0)+IF(UPPER(AE48)=UPPER(AE5),AE4,0)+IF(UPPER(AF48)=UPPER(AF5),AF4,0)+IF(UPPER(AG48)=UPPER(AG5),AG4,0)+IF(UPPER(AH48)=UPPER(AH5),AH4,0)+IF(AI48="",0,IF(LEN(SUBSTITUTE(SUBSTITUTE(UPPER(AI48),"B",""),"D",""))&gt;0,0,IF(AND(ISNUMBER(FIND("B",UPPER(AI48))),ISNUMBER(FIND("D",UPPER(AI48)))),AI4,AI4/2)))+IF(UPPER(AJ48)=UPPER(AJ5),AJ4,0)+IF(UPPER(AK48)=UPPER(AK5),AK4,0)+IF(UPPER(AL48)=UPPER(AL5),AL4,0)+IF(UPPER(AM48)=UPPER(AM5),AM4,0)+IF(AN48="",0,IF(LEN(SUBSTITUTE(SUBSTITUTE(UPPER(AN48),"B",""),"C",""))&gt;0,0,IF(AND(ISNUMBER(FIND("B",UPPER(AN48))),ISNUMBER(FIND("C",UPPER(AN48)))),AN4,AN4/2)))+IF(UPPER(AO48)=UPPER(AO5),AO4,0)+IF(UPPER(AP48)=UPPER(AP5),AP4,0)+IF(UPPER(AQ48)=UPPER(AQ5),AQ4,0)+IF(AR48="",0,IF(LEN(SUBSTITUTE(SUBSTITUTE(UPPER(AR48),"B",""),"C",""))&gt;0,0,IF(AND(ISNUMBER(FIND("B",UPPER(AR48))),ISNUMBER(FIND("C",UPPER(AR48)))),AR4,AR4/2)))</f>
        <v>85</v>
      </c>
      <c r="E48" s="13" t="s">
        <v>63</v>
      </c>
      <c r="F48" s="13" t="s">
        <v>60</v>
      </c>
      <c r="G48" s="13" t="s">
        <v>67</v>
      </c>
      <c r="H48" s="13" t="s">
        <v>61</v>
      </c>
      <c r="I48" s="13" t="s">
        <v>60</v>
      </c>
      <c r="J48" s="13" t="s">
        <v>61</v>
      </c>
      <c r="K48" s="13" t="s">
        <v>67</v>
      </c>
      <c r="L48" s="13" t="s">
        <v>63</v>
      </c>
      <c r="M48" s="13" t="s">
        <v>63</v>
      </c>
      <c r="N48" s="13" t="s">
        <v>64</v>
      </c>
      <c r="O48" s="13" t="s">
        <v>73</v>
      </c>
      <c r="P48" s="13" t="s">
        <v>61</v>
      </c>
      <c r="Q48" s="13" t="s">
        <v>60</v>
      </c>
      <c r="R48" s="13" t="s">
        <v>61</v>
      </c>
      <c r="S48" s="13" t="s">
        <v>64</v>
      </c>
      <c r="T48" s="13" t="s">
        <v>63</v>
      </c>
      <c r="U48" s="13" t="s">
        <v>179</v>
      </c>
      <c r="V48" s="13" t="s">
        <v>66</v>
      </c>
      <c r="W48" s="13" t="s">
        <v>63</v>
      </c>
      <c r="X48" s="13" t="s">
        <v>60</v>
      </c>
      <c r="Y48" s="13" t="s">
        <v>61</v>
      </c>
      <c r="Z48" s="13" t="s">
        <v>61</v>
      </c>
      <c r="AA48" s="13" t="s">
        <v>74</v>
      </c>
      <c r="AB48" s="13" t="s">
        <v>73</v>
      </c>
      <c r="AC48" s="13" t="s">
        <v>61</v>
      </c>
      <c r="AD48" s="13" t="s">
        <v>64</v>
      </c>
      <c r="AE48" s="13" t="s">
        <v>60</v>
      </c>
      <c r="AF48" s="13" t="s">
        <v>60</v>
      </c>
      <c r="AG48" s="13" t="s">
        <v>64</v>
      </c>
      <c r="AH48" s="13" t="s">
        <v>64</v>
      </c>
      <c r="AI48" s="13" t="s">
        <v>74</v>
      </c>
      <c r="AJ48" s="13" t="s">
        <v>64</v>
      </c>
      <c r="AK48" s="13" t="s">
        <v>63</v>
      </c>
      <c r="AL48" s="13" t="s">
        <v>64</v>
      </c>
      <c r="AM48" s="13" t="s">
        <v>63</v>
      </c>
      <c r="AN48" s="13" t="s">
        <v>73</v>
      </c>
      <c r="AO48" s="13" t="s">
        <v>60</v>
      </c>
      <c r="AP48" s="13" t="s">
        <v>63</v>
      </c>
      <c r="AQ48" s="13" t="s">
        <v>64</v>
      </c>
      <c r="AR48" s="13" t="s">
        <v>65</v>
      </c>
    </row>
    <row r="49" ht="15.75" customHeight="1">
      <c r="A49" s="10">
        <v>2.023905331E9</v>
      </c>
      <c r="B49" s="10" t="s">
        <v>256</v>
      </c>
      <c r="C49" s="10" t="s">
        <v>257</v>
      </c>
      <c r="D49" s="12">
        <f>IF(UPPER(E49)=UPPER(E5),E4,0)+IF(UPPER(F49)=UPPER(F5),F4,0)+IF(G49="",0,IF(LEN(SUBSTITUTE(SUBSTITUTE(UPPER(G49),"A",""),"D",""))&gt;0,0,IF(AND(ISNUMBER(FIND("A",UPPER(G49))),ISNUMBER(FIND("D",UPPER(G49)))),G4,G4/2)))+IF(UPPER(H49)=UPPER(H5),H4,0)+IF(UPPER(I49)=UPPER(I5),I4,0)+IF(UPPER(J49)=UPPER(J5),J4,0)+IF(K49="",0,IF(LEN(SUBSTITUTE(SUBSTITUTE(UPPER(K49),"B",""),"D",""))&gt;0,0,IF(AND(ISNUMBER(FIND("B",UPPER(K49))),ISNUMBER(FIND("D",UPPER(K49)))),K4,K4/2)))+IF(UPPER(L49)=UPPER(L5),L4,0)+IF(UPPER(M49)=UPPER(M5),M4,0)+IF(UPPER(N49)=UPPER(N5),N4,0)+IF(O49="",0,IF(LEN(SUBSTITUTE(SUBSTITUTE(UPPER(O49),"B",""),"C",""))&gt;0,0,IF(AND(ISNUMBER(FIND("B",UPPER(O49))),ISNUMBER(FIND("C",UPPER(O49)))),O4,O4/2)))+IF(UPPER(P49)=UPPER(P5),P4,0)+IF(UPPER(Q49)=UPPER(Q5),Q4,0)+IF(UPPER(R49)=UPPER(R5),R4,0)+IF(UPPER(S49)=UPPER(S5),S4,0)+IF(UPPER(T49)=UPPER(T5),T4,0)+IF(U49="",0,IF(LEN(SUBSTITUTE(SUBSTITUTE(UPPER(U49),"B",""),"D",""))&gt;0,0,IF(AND(ISNUMBER(FIND("B",UPPER(U49))),ISNUMBER(FIND("D",UPPER(U49)))),U4,U4/2)))+IF(V49="",0,IF(LEN(SUBSTITUTE(SUBSTITUTE(UPPER(V49),"A",""),"B",""))&gt;0,0,IF(AND(ISNUMBER(FIND("A",UPPER(V49))),ISNUMBER(FIND("B",UPPER(V49)))),V4,V4/2)))+IF(UPPER(W49)=UPPER(W5),W4,0)+IF(UPPER(X49)=UPPER(X5),X4,0)+IF(UPPER(Y49)=UPPER(Y5),Y4,0)+IF(UPPER(Z49)=UPPER(Z5),Z4,0)+IF(AA49="",0,IF(LEN(SUBSTITUTE(SUBSTITUTE(UPPER(AA49),"B",""),"D",""))&gt;0,0,IF(AND(ISNUMBER(FIND("B",UPPER(AA49))),ISNUMBER(FIND("D",UPPER(AA49)))),AA4,AA4/2)))+IF(AB49="",0,IF(LEN(SUBSTITUTE(SUBSTITUTE(UPPER(AB49),"B",""),"C",""))&gt;0,0,IF(AND(ISNUMBER(FIND("B",UPPER(AB49))),ISNUMBER(FIND("C",UPPER(AB49)))),AB4,AB4/2)))+IF(UPPER(AC49)=UPPER(AC5),AC4,0)+IF(UPPER(AD49)=UPPER(AD5),AD4,0)+IF(UPPER(AE49)=UPPER(AE5),AE4,0)+IF(UPPER(AF49)=UPPER(AF5),AF4,0)+IF(UPPER(AG49)=UPPER(AG5),AG4,0)+IF(UPPER(AH49)=UPPER(AH5),AH4,0)+IF(AI49="",0,IF(LEN(SUBSTITUTE(SUBSTITUTE(UPPER(AI49),"B",""),"D",""))&gt;0,0,IF(AND(ISNUMBER(FIND("B",UPPER(AI49))),ISNUMBER(FIND("D",UPPER(AI49)))),AI4,AI4/2)))+IF(UPPER(AJ49)=UPPER(AJ5),AJ4,0)+IF(UPPER(AK49)=UPPER(AK5),AK4,0)+IF(UPPER(AL49)=UPPER(AL5),AL4,0)+IF(UPPER(AM49)=UPPER(AM5),AM4,0)+IF(AN49="",0,IF(LEN(SUBSTITUTE(SUBSTITUTE(UPPER(AN49),"B",""),"C",""))&gt;0,0,IF(AND(ISNUMBER(FIND("B",UPPER(AN49))),ISNUMBER(FIND("C",UPPER(AN49)))),AN4,AN4/2)))+IF(UPPER(AO49)=UPPER(AO5),AO4,0)+IF(UPPER(AP49)=UPPER(AP5),AP4,0)+IF(UPPER(AQ49)=UPPER(AQ5),AQ4,0)+IF(AR49="",0,IF(LEN(SUBSTITUTE(SUBSTITUTE(UPPER(AR49),"B",""),"C",""))&gt;0,0,IF(AND(ISNUMBER(FIND("B",UPPER(AR49))),ISNUMBER(FIND("C",UPPER(AR49)))),AR4,AR4/2)))</f>
        <v>97.5</v>
      </c>
      <c r="E49" s="13" t="s">
        <v>63</v>
      </c>
      <c r="F49" s="13" t="s">
        <v>64</v>
      </c>
      <c r="G49" s="13" t="s">
        <v>67</v>
      </c>
      <c r="H49" s="13" t="s">
        <v>60</v>
      </c>
      <c r="I49" s="13" t="s">
        <v>61</v>
      </c>
      <c r="J49" s="13" t="s">
        <v>61</v>
      </c>
      <c r="K49" s="13" t="s">
        <v>74</v>
      </c>
      <c r="L49" s="13" t="s">
        <v>63</v>
      </c>
      <c r="M49" s="13" t="s">
        <v>63</v>
      </c>
      <c r="N49" s="13" t="s">
        <v>64</v>
      </c>
      <c r="O49" s="13" t="s">
        <v>73</v>
      </c>
      <c r="P49" s="13" t="s">
        <v>61</v>
      </c>
      <c r="Q49" s="13" t="s">
        <v>60</v>
      </c>
      <c r="R49" s="13" t="s">
        <v>61</v>
      </c>
      <c r="S49" s="13" t="s">
        <v>64</v>
      </c>
      <c r="T49" s="13" t="s">
        <v>63</v>
      </c>
      <c r="U49" s="13" t="s">
        <v>74</v>
      </c>
      <c r="V49" s="13" t="s">
        <v>66</v>
      </c>
      <c r="W49" s="13" t="s">
        <v>63</v>
      </c>
      <c r="X49" s="13" t="s">
        <v>60</v>
      </c>
      <c r="Y49" s="13" t="s">
        <v>61</v>
      </c>
      <c r="Z49" s="13" t="s">
        <v>61</v>
      </c>
      <c r="AA49" s="13" t="s">
        <v>74</v>
      </c>
      <c r="AB49" s="13" t="s">
        <v>73</v>
      </c>
      <c r="AC49" s="13" t="s">
        <v>61</v>
      </c>
      <c r="AD49" s="13" t="s">
        <v>64</v>
      </c>
      <c r="AE49" s="13" t="s">
        <v>60</v>
      </c>
      <c r="AF49" s="13" t="s">
        <v>60</v>
      </c>
      <c r="AG49" s="13" t="s">
        <v>64</v>
      </c>
      <c r="AH49" s="13" t="s">
        <v>64</v>
      </c>
      <c r="AI49" s="13" t="s">
        <v>74</v>
      </c>
      <c r="AJ49" s="13" t="s">
        <v>64</v>
      </c>
      <c r="AK49" s="13" t="s">
        <v>63</v>
      </c>
      <c r="AL49" s="13" t="s">
        <v>64</v>
      </c>
      <c r="AM49" s="13" t="s">
        <v>63</v>
      </c>
      <c r="AN49" s="13" t="s">
        <v>73</v>
      </c>
      <c r="AO49" s="13" t="s">
        <v>60</v>
      </c>
      <c r="AP49" s="13" t="s">
        <v>63</v>
      </c>
      <c r="AQ49" s="13" t="s">
        <v>63</v>
      </c>
      <c r="AR49" s="13" t="s">
        <v>73</v>
      </c>
    </row>
    <row r="50" ht="15.75" customHeight="1">
      <c r="A50" s="10">
        <v>2.023905933E9</v>
      </c>
      <c r="B50" s="10" t="s">
        <v>258</v>
      </c>
      <c r="C50" s="10" t="s">
        <v>259</v>
      </c>
      <c r="D50" s="12">
        <f>IF(UPPER(E50)=UPPER(E5),E4,0)+IF(UPPER(F50)=UPPER(F5),F4,0)+IF(G50="",0,IF(LEN(SUBSTITUTE(SUBSTITUTE(UPPER(G50),"A",""),"D",""))&gt;0,0,IF(AND(ISNUMBER(FIND("A",UPPER(G50))),ISNUMBER(FIND("D",UPPER(G50)))),G4,G4/2)))+IF(UPPER(H50)=UPPER(H5),H4,0)+IF(UPPER(I50)=UPPER(I5),I4,0)+IF(UPPER(J50)=UPPER(J5),J4,0)+IF(K50="",0,IF(LEN(SUBSTITUTE(SUBSTITUTE(UPPER(K50),"B",""),"D",""))&gt;0,0,IF(AND(ISNUMBER(FIND("B",UPPER(K50))),ISNUMBER(FIND("D",UPPER(K50)))),K4,K4/2)))+IF(UPPER(L50)=UPPER(L5),L4,0)+IF(UPPER(M50)=UPPER(M5),M4,0)+IF(UPPER(N50)=UPPER(N5),N4,0)+IF(O50="",0,IF(LEN(SUBSTITUTE(SUBSTITUTE(UPPER(O50),"B",""),"C",""))&gt;0,0,IF(AND(ISNUMBER(FIND("B",UPPER(O50))),ISNUMBER(FIND("C",UPPER(O50)))),O4,O4/2)))+IF(UPPER(P50)=UPPER(P5),P4,0)+IF(UPPER(Q50)=UPPER(Q5),Q4,0)+IF(UPPER(R50)=UPPER(R5),R4,0)+IF(UPPER(S50)=UPPER(S5),S4,0)+IF(UPPER(T50)=UPPER(T5),T4,0)+IF(U50="",0,IF(LEN(SUBSTITUTE(SUBSTITUTE(UPPER(U50),"B",""),"D",""))&gt;0,0,IF(AND(ISNUMBER(FIND("B",UPPER(U50))),ISNUMBER(FIND("D",UPPER(U50)))),U4,U4/2)))+IF(V50="",0,IF(LEN(SUBSTITUTE(SUBSTITUTE(UPPER(V50),"A",""),"B",""))&gt;0,0,IF(AND(ISNUMBER(FIND("A",UPPER(V50))),ISNUMBER(FIND("B",UPPER(V50)))),V4,V4/2)))+IF(UPPER(W50)=UPPER(W5),W4,0)+IF(UPPER(X50)=UPPER(X5),X4,0)+IF(UPPER(Y50)=UPPER(Y5),Y4,0)+IF(UPPER(Z50)=UPPER(Z5),Z4,0)+IF(AA50="",0,IF(LEN(SUBSTITUTE(SUBSTITUTE(UPPER(AA50),"B",""),"D",""))&gt;0,0,IF(AND(ISNUMBER(FIND("B",UPPER(AA50))),ISNUMBER(FIND("D",UPPER(AA50)))),AA4,AA4/2)))+IF(AB50="",0,IF(LEN(SUBSTITUTE(SUBSTITUTE(UPPER(AB50),"B",""),"C",""))&gt;0,0,IF(AND(ISNUMBER(FIND("B",UPPER(AB50))),ISNUMBER(FIND("C",UPPER(AB50)))),AB4,AB4/2)))+IF(UPPER(AC50)=UPPER(AC5),AC4,0)+IF(UPPER(AD50)=UPPER(AD5),AD4,0)+IF(UPPER(AE50)=UPPER(AE5),AE4,0)+IF(UPPER(AF50)=UPPER(AF5),AF4,0)+IF(UPPER(AG50)=UPPER(AG5),AG4,0)+IF(UPPER(AH50)=UPPER(AH5),AH4,0)+IF(AI50="",0,IF(LEN(SUBSTITUTE(SUBSTITUTE(UPPER(AI50),"B",""),"D",""))&gt;0,0,IF(AND(ISNUMBER(FIND("B",UPPER(AI50))),ISNUMBER(FIND("D",UPPER(AI50)))),AI4,AI4/2)))+IF(UPPER(AJ50)=UPPER(AJ5),AJ4,0)+IF(UPPER(AK50)=UPPER(AK5),AK4,0)+IF(UPPER(AL50)=UPPER(AL5),AL4,0)+IF(UPPER(AM50)=UPPER(AM5),AM4,0)+IF(AN50="",0,IF(LEN(SUBSTITUTE(SUBSTITUTE(UPPER(AN50),"B",""),"C",""))&gt;0,0,IF(AND(ISNUMBER(FIND("B",UPPER(AN50))),ISNUMBER(FIND("C",UPPER(AN50)))),AN4,AN4/2)))+IF(UPPER(AO50)=UPPER(AO5),AO4,0)+IF(UPPER(AP50)=UPPER(AP5),AP4,0)+IF(UPPER(AQ50)=UPPER(AQ5),AQ4,0)+IF(AR50="",0,IF(LEN(SUBSTITUTE(SUBSTITUTE(UPPER(AR50),"B",""),"C",""))&gt;0,0,IF(AND(ISNUMBER(FIND("B",UPPER(AR50))),ISNUMBER(FIND("C",UPPER(AR50)))),AR4,AR4/2)))</f>
        <v>87.5</v>
      </c>
      <c r="E50" s="13" t="s">
        <v>63</v>
      </c>
      <c r="F50" s="13" t="s">
        <v>60</v>
      </c>
      <c r="G50" s="13" t="s">
        <v>67</v>
      </c>
      <c r="H50" s="13" t="s">
        <v>60</v>
      </c>
      <c r="I50" s="13" t="s">
        <v>61</v>
      </c>
      <c r="J50" s="13" t="s">
        <v>61</v>
      </c>
      <c r="K50" s="13" t="s">
        <v>74</v>
      </c>
      <c r="L50" s="13" t="s">
        <v>63</v>
      </c>
      <c r="M50" s="13" t="s">
        <v>63</v>
      </c>
      <c r="N50" s="13" t="s">
        <v>64</v>
      </c>
      <c r="O50" s="13" t="s">
        <v>73</v>
      </c>
      <c r="P50" s="13" t="s">
        <v>61</v>
      </c>
      <c r="Q50" s="13" t="s">
        <v>60</v>
      </c>
      <c r="R50" s="13" t="s">
        <v>61</v>
      </c>
      <c r="S50" s="13" t="s">
        <v>60</v>
      </c>
      <c r="T50" s="13" t="s">
        <v>63</v>
      </c>
      <c r="U50" s="13" t="s">
        <v>74</v>
      </c>
      <c r="V50" s="13" t="s">
        <v>67</v>
      </c>
      <c r="W50" s="13" t="s">
        <v>63</v>
      </c>
      <c r="X50" s="13" t="s">
        <v>60</v>
      </c>
      <c r="Y50" s="13" t="s">
        <v>61</v>
      </c>
      <c r="Z50" s="13" t="s">
        <v>61</v>
      </c>
      <c r="AA50" s="13" t="s">
        <v>74</v>
      </c>
      <c r="AB50" s="13" t="s">
        <v>74</v>
      </c>
      <c r="AC50" s="13" t="s">
        <v>61</v>
      </c>
      <c r="AD50" s="13" t="s">
        <v>64</v>
      </c>
      <c r="AE50" s="13" t="s">
        <v>60</v>
      </c>
      <c r="AF50" s="13" t="s">
        <v>60</v>
      </c>
      <c r="AG50" s="13" t="s">
        <v>64</v>
      </c>
      <c r="AH50" s="13" t="s">
        <v>64</v>
      </c>
      <c r="AI50" s="13" t="s">
        <v>74</v>
      </c>
      <c r="AJ50" s="13" t="s">
        <v>64</v>
      </c>
      <c r="AK50" s="13" t="s">
        <v>63</v>
      </c>
      <c r="AL50" s="13" t="s">
        <v>64</v>
      </c>
      <c r="AM50" s="13" t="s">
        <v>63</v>
      </c>
      <c r="AN50" s="13" t="s">
        <v>73</v>
      </c>
      <c r="AO50" s="13" t="s">
        <v>61</v>
      </c>
      <c r="AP50" s="13" t="s">
        <v>64</v>
      </c>
      <c r="AQ50" s="13" t="s">
        <v>63</v>
      </c>
      <c r="AR50" s="13" t="s">
        <v>73</v>
      </c>
    </row>
    <row r="51" ht="15.75" customHeight="1">
      <c r="A51" s="10">
        <v>2.023903989E9</v>
      </c>
      <c r="B51" s="10" t="s">
        <v>260</v>
      </c>
      <c r="C51" s="10" t="s">
        <v>261</v>
      </c>
      <c r="D51" s="12">
        <f>IF(UPPER(E51)=UPPER(E5),E4,0)+IF(UPPER(F51)=UPPER(F5),F4,0)+IF(G51="",0,IF(LEN(SUBSTITUTE(SUBSTITUTE(UPPER(G51),"A",""),"D",""))&gt;0,0,IF(AND(ISNUMBER(FIND("A",UPPER(G51))),ISNUMBER(FIND("D",UPPER(G51)))),G4,G4/2)))+IF(UPPER(H51)=UPPER(H5),H4,0)+IF(UPPER(I51)=UPPER(I5),I4,0)+IF(UPPER(J51)=UPPER(J5),J4,0)+IF(K51="",0,IF(LEN(SUBSTITUTE(SUBSTITUTE(UPPER(K51),"B",""),"D",""))&gt;0,0,IF(AND(ISNUMBER(FIND("B",UPPER(K51))),ISNUMBER(FIND("D",UPPER(K51)))),K4,K4/2)))+IF(UPPER(L51)=UPPER(L5),L4,0)+IF(UPPER(M51)=UPPER(M5),M4,0)+IF(UPPER(N51)=UPPER(N5),N4,0)+IF(O51="",0,IF(LEN(SUBSTITUTE(SUBSTITUTE(UPPER(O51),"B",""),"C",""))&gt;0,0,IF(AND(ISNUMBER(FIND("B",UPPER(O51))),ISNUMBER(FIND("C",UPPER(O51)))),O4,O4/2)))+IF(UPPER(P51)=UPPER(P5),P4,0)+IF(UPPER(Q51)=UPPER(Q5),Q4,0)+IF(UPPER(R51)=UPPER(R5),R4,0)+IF(UPPER(S51)=UPPER(S5),S4,0)+IF(UPPER(T51)=UPPER(T5),T4,0)+IF(U51="",0,IF(LEN(SUBSTITUTE(SUBSTITUTE(UPPER(U51),"B",""),"D",""))&gt;0,0,IF(AND(ISNUMBER(FIND("B",UPPER(U51))),ISNUMBER(FIND("D",UPPER(U51)))),U4,U4/2)))+IF(V51="",0,IF(LEN(SUBSTITUTE(SUBSTITUTE(UPPER(V51),"A",""),"B",""))&gt;0,0,IF(AND(ISNUMBER(FIND("A",UPPER(V51))),ISNUMBER(FIND("B",UPPER(V51)))),V4,V4/2)))+IF(UPPER(W51)=UPPER(W5),W4,0)+IF(UPPER(X51)=UPPER(X5),X4,0)+IF(UPPER(Y51)=UPPER(Y5),Y4,0)+IF(UPPER(Z51)=UPPER(Z5),Z4,0)+IF(AA51="",0,IF(LEN(SUBSTITUTE(SUBSTITUTE(UPPER(AA51),"B",""),"D",""))&gt;0,0,IF(AND(ISNUMBER(FIND("B",UPPER(AA51))),ISNUMBER(FIND("D",UPPER(AA51)))),AA4,AA4/2)))+IF(AB51="",0,IF(LEN(SUBSTITUTE(SUBSTITUTE(UPPER(AB51),"B",""),"C",""))&gt;0,0,IF(AND(ISNUMBER(FIND("B",UPPER(AB51))),ISNUMBER(FIND("C",UPPER(AB51)))),AB4,AB4/2)))+IF(UPPER(AC51)=UPPER(AC5),AC4,0)+IF(UPPER(AD51)=UPPER(AD5),AD4,0)+IF(UPPER(AE51)=UPPER(AE5),AE4,0)+IF(UPPER(AF51)=UPPER(AF5),AF4,0)+IF(UPPER(AG51)=UPPER(AG5),AG4,0)+IF(UPPER(AH51)=UPPER(AH5),AH4,0)+IF(AI51="",0,IF(LEN(SUBSTITUTE(SUBSTITUTE(UPPER(AI51),"B",""),"D",""))&gt;0,0,IF(AND(ISNUMBER(FIND("B",UPPER(AI51))),ISNUMBER(FIND("D",UPPER(AI51)))),AI4,AI4/2)))+IF(UPPER(AJ51)=UPPER(AJ5),AJ4,0)+IF(UPPER(AK51)=UPPER(AK5),AK4,0)+IF(UPPER(AL51)=UPPER(AL5),AL4,0)+IF(UPPER(AM51)=UPPER(AM5),AM4,0)+IF(AN51="",0,IF(LEN(SUBSTITUTE(SUBSTITUTE(UPPER(AN51),"B",""),"C",""))&gt;0,0,IF(AND(ISNUMBER(FIND("B",UPPER(AN51))),ISNUMBER(FIND("C",UPPER(AN51)))),AN4,AN4/2)))+IF(UPPER(AO51)=UPPER(AO5),AO4,0)+IF(UPPER(AP51)=UPPER(AP5),AP4,0)+IF(UPPER(AQ51)=UPPER(AQ5),AQ4,0)+IF(AR51="",0,IF(LEN(SUBSTITUTE(SUBSTITUTE(UPPER(AR51),"B",""),"C",""))&gt;0,0,IF(AND(ISNUMBER(FIND("B",UPPER(AR51))),ISNUMBER(FIND("C",UPPER(AR51)))),AR4,AR4/2)))</f>
        <v>97.5</v>
      </c>
      <c r="E51" s="13" t="s">
        <v>63</v>
      </c>
      <c r="F51" s="13" t="s">
        <v>60</v>
      </c>
      <c r="G51" s="13" t="s">
        <v>67</v>
      </c>
      <c r="H51" s="13" t="s">
        <v>60</v>
      </c>
      <c r="I51" s="13" t="s">
        <v>61</v>
      </c>
      <c r="J51" s="13" t="s">
        <v>61</v>
      </c>
      <c r="K51" s="13" t="s">
        <v>74</v>
      </c>
      <c r="L51" s="13" t="s">
        <v>73</v>
      </c>
      <c r="M51" s="13" t="s">
        <v>63</v>
      </c>
      <c r="N51" s="13" t="s">
        <v>64</v>
      </c>
      <c r="O51" s="13" t="s">
        <v>73</v>
      </c>
      <c r="P51" s="13" t="s">
        <v>61</v>
      </c>
      <c r="Q51" s="13" t="s">
        <v>60</v>
      </c>
      <c r="R51" s="13" t="s">
        <v>61</v>
      </c>
      <c r="S51" s="13" t="s">
        <v>64</v>
      </c>
      <c r="T51" s="13" t="s">
        <v>63</v>
      </c>
      <c r="U51" s="13" t="s">
        <v>74</v>
      </c>
      <c r="V51" s="13" t="s">
        <v>66</v>
      </c>
      <c r="W51" s="13" t="s">
        <v>63</v>
      </c>
      <c r="X51" s="13" t="s">
        <v>60</v>
      </c>
      <c r="Y51" s="13" t="s">
        <v>61</v>
      </c>
      <c r="Z51" s="13" t="s">
        <v>61</v>
      </c>
      <c r="AA51" s="13" t="s">
        <v>74</v>
      </c>
      <c r="AB51" s="13" t="s">
        <v>73</v>
      </c>
      <c r="AC51" s="13" t="s">
        <v>61</v>
      </c>
      <c r="AD51" s="13" t="s">
        <v>64</v>
      </c>
      <c r="AE51" s="13" t="s">
        <v>60</v>
      </c>
      <c r="AF51" s="13" t="s">
        <v>60</v>
      </c>
      <c r="AG51" s="13" t="s">
        <v>64</v>
      </c>
      <c r="AH51" s="13" t="s">
        <v>64</v>
      </c>
      <c r="AI51" s="13" t="s">
        <v>74</v>
      </c>
      <c r="AJ51" s="13" t="s">
        <v>64</v>
      </c>
      <c r="AK51" s="13" t="s">
        <v>63</v>
      </c>
      <c r="AL51" s="13" t="s">
        <v>64</v>
      </c>
      <c r="AM51" s="13" t="s">
        <v>63</v>
      </c>
      <c r="AN51" s="13" t="s">
        <v>73</v>
      </c>
      <c r="AO51" s="13" t="s">
        <v>60</v>
      </c>
      <c r="AP51" s="13" t="s">
        <v>63</v>
      </c>
      <c r="AQ51" s="13" t="s">
        <v>63</v>
      </c>
      <c r="AR51" s="13" t="s">
        <v>73</v>
      </c>
    </row>
    <row r="52" ht="15.75" customHeight="1">
      <c r="A52" s="10">
        <v>2.02390532E9</v>
      </c>
      <c r="B52" s="10" t="s">
        <v>262</v>
      </c>
      <c r="C52" s="10" t="s">
        <v>263</v>
      </c>
      <c r="D52" s="12">
        <f>IF(UPPER(E52)=UPPER(E5),E4,0)+IF(UPPER(F52)=UPPER(F5),F4,0)+IF(G52="",0,IF(LEN(SUBSTITUTE(SUBSTITUTE(UPPER(G52),"A",""),"D",""))&gt;0,0,IF(AND(ISNUMBER(FIND("A",UPPER(G52))),ISNUMBER(FIND("D",UPPER(G52)))),G4,G4/2)))+IF(UPPER(H52)=UPPER(H5),H4,0)+IF(UPPER(I52)=UPPER(I5),I4,0)+IF(UPPER(J52)=UPPER(J5),J4,0)+IF(K52="",0,IF(LEN(SUBSTITUTE(SUBSTITUTE(UPPER(K52),"B",""),"D",""))&gt;0,0,IF(AND(ISNUMBER(FIND("B",UPPER(K52))),ISNUMBER(FIND("D",UPPER(K52)))),K4,K4/2)))+IF(UPPER(L52)=UPPER(L5),L4,0)+IF(UPPER(M52)=UPPER(M5),M4,0)+IF(UPPER(N52)=UPPER(N5),N4,0)+IF(O52="",0,IF(LEN(SUBSTITUTE(SUBSTITUTE(UPPER(O52),"B",""),"C",""))&gt;0,0,IF(AND(ISNUMBER(FIND("B",UPPER(O52))),ISNUMBER(FIND("C",UPPER(O52)))),O4,O4/2)))+IF(UPPER(P52)=UPPER(P5),P4,0)+IF(UPPER(Q52)=UPPER(Q5),Q4,0)+IF(UPPER(R52)=UPPER(R5),R4,0)+IF(UPPER(S52)=UPPER(S5),S4,0)+IF(UPPER(T52)=UPPER(T5),T4,0)+IF(U52="",0,IF(LEN(SUBSTITUTE(SUBSTITUTE(UPPER(U52),"B",""),"D",""))&gt;0,0,IF(AND(ISNUMBER(FIND("B",UPPER(U52))),ISNUMBER(FIND("D",UPPER(U52)))),U4,U4/2)))+IF(V52="",0,IF(LEN(SUBSTITUTE(SUBSTITUTE(UPPER(V52),"A",""),"B",""))&gt;0,0,IF(AND(ISNUMBER(FIND("A",UPPER(V52))),ISNUMBER(FIND("B",UPPER(V52)))),V4,V4/2)))+IF(UPPER(W52)=UPPER(W5),W4,0)+IF(UPPER(X52)=UPPER(X5),X4,0)+IF(UPPER(Y52)=UPPER(Y5),Y4,0)+IF(UPPER(Z52)=UPPER(Z5),Z4,0)+IF(AA52="",0,IF(LEN(SUBSTITUTE(SUBSTITUTE(UPPER(AA52),"B",""),"D",""))&gt;0,0,IF(AND(ISNUMBER(FIND("B",UPPER(AA52))),ISNUMBER(FIND("D",UPPER(AA52)))),AA4,AA4/2)))+IF(AB52="",0,IF(LEN(SUBSTITUTE(SUBSTITUTE(UPPER(AB52),"B",""),"C",""))&gt;0,0,IF(AND(ISNUMBER(FIND("B",UPPER(AB52))),ISNUMBER(FIND("C",UPPER(AB52)))),AB4,AB4/2)))+IF(UPPER(AC52)=UPPER(AC5),AC4,0)+IF(UPPER(AD52)=UPPER(AD5),AD4,0)+IF(UPPER(AE52)=UPPER(AE5),AE4,0)+IF(UPPER(AF52)=UPPER(AF5),AF4,0)+IF(UPPER(AG52)=UPPER(AG5),AG4,0)+IF(UPPER(AH52)=UPPER(AH5),AH4,0)+IF(AI52="",0,IF(LEN(SUBSTITUTE(SUBSTITUTE(UPPER(AI52),"B",""),"D",""))&gt;0,0,IF(AND(ISNUMBER(FIND("B",UPPER(AI52))),ISNUMBER(FIND("D",UPPER(AI52)))),AI4,AI4/2)))+IF(UPPER(AJ52)=UPPER(AJ5),AJ4,0)+IF(UPPER(AK52)=UPPER(AK5),AK4,0)+IF(UPPER(AL52)=UPPER(AL5),AL4,0)+IF(UPPER(AM52)=UPPER(AM5),AM4,0)+IF(AN52="",0,IF(LEN(SUBSTITUTE(SUBSTITUTE(UPPER(AN52),"B",""),"C",""))&gt;0,0,IF(AND(ISNUMBER(FIND("B",UPPER(AN52))),ISNUMBER(FIND("C",UPPER(AN52)))),AN4,AN4/2)))+IF(UPPER(AO52)=UPPER(AO5),AO4,0)+IF(UPPER(AP52)=UPPER(AP5),AP4,0)+IF(UPPER(AQ52)=UPPER(AQ5),AQ4,0)+IF(AR52="",0,IF(LEN(SUBSTITUTE(SUBSTITUTE(UPPER(AR52),"B",""),"C",""))&gt;0,0,IF(AND(ISNUMBER(FIND("B",UPPER(AR52))),ISNUMBER(FIND("C",UPPER(AR52)))),AR4,AR4/2)))</f>
        <v>55</v>
      </c>
      <c r="E52" s="13" t="s">
        <v>63</v>
      </c>
      <c r="F52" s="13" t="s">
        <v>60</v>
      </c>
      <c r="G52" s="13" t="s">
        <v>67</v>
      </c>
      <c r="H52" s="13" t="s">
        <v>60</v>
      </c>
      <c r="I52" s="13" t="s">
        <v>64</v>
      </c>
      <c r="J52" s="13" t="s">
        <v>60</v>
      </c>
      <c r="K52" s="13" t="s">
        <v>221</v>
      </c>
      <c r="L52" s="13" t="s">
        <v>63</v>
      </c>
      <c r="M52" s="13" t="s">
        <v>60</v>
      </c>
      <c r="N52" s="13" t="s">
        <v>64</v>
      </c>
      <c r="O52" s="13" t="s">
        <v>125</v>
      </c>
      <c r="P52" s="13" t="s">
        <v>63</v>
      </c>
      <c r="Q52" s="13" t="s">
        <v>60</v>
      </c>
      <c r="R52" s="13" t="s">
        <v>60</v>
      </c>
      <c r="S52" s="13" t="s">
        <v>64</v>
      </c>
      <c r="T52" s="13" t="s">
        <v>64</v>
      </c>
      <c r="U52" s="13" t="s">
        <v>61</v>
      </c>
      <c r="V52" s="13" t="s">
        <v>70</v>
      </c>
      <c r="W52" s="13" t="s">
        <v>63</v>
      </c>
      <c r="X52" s="13" t="s">
        <v>63</v>
      </c>
      <c r="Y52" s="13" t="s">
        <v>61</v>
      </c>
      <c r="Z52" s="13" t="s">
        <v>60</v>
      </c>
      <c r="AA52" s="13" t="s">
        <v>74</v>
      </c>
      <c r="AB52" s="13" t="s">
        <v>66</v>
      </c>
      <c r="AC52" s="13" t="s">
        <v>63</v>
      </c>
      <c r="AD52" s="13" t="s">
        <v>61</v>
      </c>
      <c r="AE52" s="13" t="s">
        <v>60</v>
      </c>
      <c r="AF52" s="13" t="s">
        <v>60</v>
      </c>
      <c r="AG52" s="13" t="s">
        <v>64</v>
      </c>
      <c r="AH52" s="13" t="s">
        <v>64</v>
      </c>
      <c r="AI52" s="13" t="s">
        <v>74</v>
      </c>
      <c r="AJ52" s="13" t="s">
        <v>64</v>
      </c>
      <c r="AK52" s="13" t="s">
        <v>64</v>
      </c>
      <c r="AL52" s="13" t="s">
        <v>64</v>
      </c>
      <c r="AM52" s="13" t="s">
        <v>60</v>
      </c>
      <c r="AN52" s="13" t="s">
        <v>73</v>
      </c>
      <c r="AO52" s="13" t="s">
        <v>60</v>
      </c>
      <c r="AP52" s="13" t="s">
        <v>64</v>
      </c>
      <c r="AQ52" s="13" t="s">
        <v>63</v>
      </c>
      <c r="AR52" s="13" t="s">
        <v>73</v>
      </c>
    </row>
    <row r="53" ht="15.75" customHeight="1">
      <c r="A53" s="10">
        <v>2.023905938E9</v>
      </c>
      <c r="B53" s="10" t="s">
        <v>264</v>
      </c>
      <c r="C53" s="10" t="s">
        <v>265</v>
      </c>
      <c r="D53" s="12">
        <f>IF(UPPER(E53)=UPPER(E5),E4,0)+IF(UPPER(F53)=UPPER(F5),F4,0)+IF(G53="",0,IF(LEN(SUBSTITUTE(SUBSTITUTE(UPPER(G53),"A",""),"D",""))&gt;0,0,IF(AND(ISNUMBER(FIND("A",UPPER(G53))),ISNUMBER(FIND("D",UPPER(G53)))),G4,G4/2)))+IF(UPPER(H53)=UPPER(H5),H4,0)+IF(UPPER(I53)=UPPER(I5),I4,0)+IF(UPPER(J53)=UPPER(J5),J4,0)+IF(K53="",0,IF(LEN(SUBSTITUTE(SUBSTITUTE(UPPER(K53),"B",""),"D",""))&gt;0,0,IF(AND(ISNUMBER(FIND("B",UPPER(K53))),ISNUMBER(FIND("D",UPPER(K53)))),K4,K4/2)))+IF(UPPER(L53)=UPPER(L5),L4,0)+IF(UPPER(M53)=UPPER(M5),M4,0)+IF(UPPER(N53)=UPPER(N5),N4,0)+IF(O53="",0,IF(LEN(SUBSTITUTE(SUBSTITUTE(UPPER(O53),"B",""),"C",""))&gt;0,0,IF(AND(ISNUMBER(FIND("B",UPPER(O53))),ISNUMBER(FIND("C",UPPER(O53)))),O4,O4/2)))+IF(UPPER(P53)=UPPER(P5),P4,0)+IF(UPPER(Q53)=UPPER(Q5),Q4,0)+IF(UPPER(R53)=UPPER(R5),R4,0)+IF(UPPER(S53)=UPPER(S5),S4,0)+IF(UPPER(T53)=UPPER(T5),T4,0)+IF(U53="",0,IF(LEN(SUBSTITUTE(SUBSTITUTE(UPPER(U53),"B",""),"D",""))&gt;0,0,IF(AND(ISNUMBER(FIND("B",UPPER(U53))),ISNUMBER(FIND("D",UPPER(U53)))),U4,U4/2)))+IF(V53="",0,IF(LEN(SUBSTITUTE(SUBSTITUTE(UPPER(V53),"A",""),"B",""))&gt;0,0,IF(AND(ISNUMBER(FIND("A",UPPER(V53))),ISNUMBER(FIND("B",UPPER(V53)))),V4,V4/2)))+IF(UPPER(W53)=UPPER(W5),W4,0)+IF(UPPER(X53)=UPPER(X5),X4,0)+IF(UPPER(Y53)=UPPER(Y5),Y4,0)+IF(UPPER(Z53)=UPPER(Z5),Z4,0)+IF(AA53="",0,IF(LEN(SUBSTITUTE(SUBSTITUTE(UPPER(AA53),"B",""),"D",""))&gt;0,0,IF(AND(ISNUMBER(FIND("B",UPPER(AA53))),ISNUMBER(FIND("D",UPPER(AA53)))),AA4,AA4/2)))+IF(AB53="",0,IF(LEN(SUBSTITUTE(SUBSTITUTE(UPPER(AB53),"B",""),"C",""))&gt;0,0,IF(AND(ISNUMBER(FIND("B",UPPER(AB53))),ISNUMBER(FIND("C",UPPER(AB53)))),AB4,AB4/2)))+IF(UPPER(AC53)=UPPER(AC5),AC4,0)+IF(UPPER(AD53)=UPPER(AD5),AD4,0)+IF(UPPER(AE53)=UPPER(AE5),AE4,0)+IF(UPPER(AF53)=UPPER(AF5),AF4,0)+IF(UPPER(AG53)=UPPER(AG5),AG4,0)+IF(UPPER(AH53)=UPPER(AH5),AH4,0)+IF(AI53="",0,IF(LEN(SUBSTITUTE(SUBSTITUTE(UPPER(AI53),"B",""),"D",""))&gt;0,0,IF(AND(ISNUMBER(FIND("B",UPPER(AI53))),ISNUMBER(FIND("D",UPPER(AI53)))),AI4,AI4/2)))+IF(UPPER(AJ53)=UPPER(AJ5),AJ4,0)+IF(UPPER(AK53)=UPPER(AK5),AK4,0)+IF(UPPER(AL53)=UPPER(AL5),AL4,0)+IF(UPPER(AM53)=UPPER(AM5),AM4,0)+IF(AN53="",0,IF(LEN(SUBSTITUTE(SUBSTITUTE(UPPER(AN53),"B",""),"C",""))&gt;0,0,IF(AND(ISNUMBER(FIND("B",UPPER(AN53))),ISNUMBER(FIND("C",UPPER(AN53)))),AN4,AN4/2)))+IF(UPPER(AO53)=UPPER(AO5),AO4,0)+IF(UPPER(AP53)=UPPER(AP5),AP4,0)+IF(UPPER(AQ53)=UPPER(AQ5),AQ4,0)+IF(AR53="",0,IF(LEN(SUBSTITUTE(SUBSTITUTE(UPPER(AR53),"B",""),"C",""))&gt;0,0,IF(AND(ISNUMBER(FIND("B",UPPER(AR53))),ISNUMBER(FIND("C",UPPER(AR53)))),AR4,AR4/2)))</f>
        <v>58.75</v>
      </c>
      <c r="E53" s="13" t="s">
        <v>63</v>
      </c>
      <c r="F53" s="13" t="s">
        <v>60</v>
      </c>
      <c r="G53" s="13" t="s">
        <v>67</v>
      </c>
      <c r="H53" s="13" t="s">
        <v>63</v>
      </c>
      <c r="I53" s="13" t="s">
        <v>64</v>
      </c>
      <c r="J53" s="13" t="s">
        <v>61</v>
      </c>
      <c r="K53" s="13" t="s">
        <v>74</v>
      </c>
      <c r="L53" s="13" t="s">
        <v>73</v>
      </c>
      <c r="M53" s="13" t="s">
        <v>63</v>
      </c>
      <c r="N53" s="13" t="s">
        <v>64</v>
      </c>
      <c r="O53" s="13" t="s">
        <v>73</v>
      </c>
      <c r="P53" s="13" t="s">
        <v>139</v>
      </c>
      <c r="Q53" s="13" t="s">
        <v>60</v>
      </c>
      <c r="R53" s="13" t="s">
        <v>61</v>
      </c>
      <c r="S53" s="13" t="s">
        <v>64</v>
      </c>
      <c r="T53" s="13" t="s">
        <v>63</v>
      </c>
      <c r="U53" s="13" t="s">
        <v>74</v>
      </c>
      <c r="V53" s="13" t="s">
        <v>62</v>
      </c>
      <c r="W53" s="13" t="s">
        <v>63</v>
      </c>
      <c r="X53" s="13" t="s">
        <v>60</v>
      </c>
      <c r="Y53" s="13" t="s">
        <v>64</v>
      </c>
      <c r="Z53" s="13" t="s">
        <v>61</v>
      </c>
      <c r="AA53" s="13" t="s">
        <v>126</v>
      </c>
      <c r="AB53" s="13" t="s">
        <v>73</v>
      </c>
      <c r="AC53" s="13" t="s">
        <v>63</v>
      </c>
      <c r="AD53" s="13" t="s">
        <v>61</v>
      </c>
      <c r="AE53" s="13" t="s">
        <v>60</v>
      </c>
      <c r="AF53" s="13" t="s">
        <v>64</v>
      </c>
      <c r="AG53" s="13" t="s">
        <v>63</v>
      </c>
      <c r="AH53" s="13" t="s">
        <v>64</v>
      </c>
      <c r="AI53" s="13" t="s">
        <v>60</v>
      </c>
      <c r="AJ53" s="13" t="s">
        <v>60</v>
      </c>
      <c r="AK53" s="13" t="s">
        <v>64</v>
      </c>
      <c r="AL53" s="13" t="s">
        <v>64</v>
      </c>
      <c r="AM53" s="13" t="s">
        <v>63</v>
      </c>
      <c r="AN53" s="13" t="s">
        <v>65</v>
      </c>
      <c r="AO53" s="13" t="s">
        <v>60</v>
      </c>
      <c r="AP53" s="13" t="s">
        <v>60</v>
      </c>
      <c r="AQ53" s="13" t="s">
        <v>60</v>
      </c>
      <c r="AR53" s="13" t="s">
        <v>73</v>
      </c>
    </row>
    <row r="54" ht="15.75" customHeight="1">
      <c r="A54" s="10">
        <v>2.023902042E9</v>
      </c>
      <c r="B54" s="10" t="s">
        <v>266</v>
      </c>
      <c r="C54" s="10" t="s">
        <v>267</v>
      </c>
      <c r="D54" s="12">
        <f>IF(UPPER(E54)=UPPER(E5),E4,0)+IF(UPPER(F54)=UPPER(F5),F4,0)+IF(G54="",0,IF(LEN(SUBSTITUTE(SUBSTITUTE(UPPER(G54),"A",""),"D",""))&gt;0,0,IF(AND(ISNUMBER(FIND("A",UPPER(G54))),ISNUMBER(FIND("D",UPPER(G54)))),G4,G4/2)))+IF(UPPER(H54)=UPPER(H5),H4,0)+IF(UPPER(I54)=UPPER(I5),I4,0)+IF(UPPER(J54)=UPPER(J5),J4,0)+IF(K54="",0,IF(LEN(SUBSTITUTE(SUBSTITUTE(UPPER(K54),"B",""),"D",""))&gt;0,0,IF(AND(ISNUMBER(FIND("B",UPPER(K54))),ISNUMBER(FIND("D",UPPER(K54)))),K4,K4/2)))+IF(UPPER(L54)=UPPER(L5),L4,0)+IF(UPPER(M54)=UPPER(M5),M4,0)+IF(UPPER(N54)=UPPER(N5),N4,0)+IF(O54="",0,IF(LEN(SUBSTITUTE(SUBSTITUTE(UPPER(O54),"B",""),"C",""))&gt;0,0,IF(AND(ISNUMBER(FIND("B",UPPER(O54))),ISNUMBER(FIND("C",UPPER(O54)))),O4,O4/2)))+IF(UPPER(P54)=UPPER(P5),P4,0)+IF(UPPER(Q54)=UPPER(Q5),Q4,0)+IF(UPPER(R54)=UPPER(R5),R4,0)+IF(UPPER(S54)=UPPER(S5),S4,0)+IF(UPPER(T54)=UPPER(T5),T4,0)+IF(U54="",0,IF(LEN(SUBSTITUTE(SUBSTITUTE(UPPER(U54),"B",""),"D",""))&gt;0,0,IF(AND(ISNUMBER(FIND("B",UPPER(U54))),ISNUMBER(FIND("D",UPPER(U54)))),U4,U4/2)))+IF(V54="",0,IF(LEN(SUBSTITUTE(SUBSTITUTE(UPPER(V54),"A",""),"B",""))&gt;0,0,IF(AND(ISNUMBER(FIND("A",UPPER(V54))),ISNUMBER(FIND("B",UPPER(V54)))),V4,V4/2)))+IF(UPPER(W54)=UPPER(W5),W4,0)+IF(UPPER(X54)=UPPER(X5),X4,0)+IF(UPPER(Y54)=UPPER(Y5),Y4,0)+IF(UPPER(Z54)=UPPER(Z5),Z4,0)+IF(AA54="",0,IF(LEN(SUBSTITUTE(SUBSTITUTE(UPPER(AA54),"B",""),"D",""))&gt;0,0,IF(AND(ISNUMBER(FIND("B",UPPER(AA54))),ISNUMBER(FIND("D",UPPER(AA54)))),AA4,AA4/2)))+IF(AB54="",0,IF(LEN(SUBSTITUTE(SUBSTITUTE(UPPER(AB54),"B",""),"C",""))&gt;0,0,IF(AND(ISNUMBER(FIND("B",UPPER(AB54))),ISNUMBER(FIND("C",UPPER(AB54)))),AB4,AB4/2)))+IF(UPPER(AC54)=UPPER(AC5),AC4,0)+IF(UPPER(AD54)=UPPER(AD5),AD4,0)+IF(UPPER(AE54)=UPPER(AE5),AE4,0)+IF(UPPER(AF54)=UPPER(AF5),AF4,0)+IF(UPPER(AG54)=UPPER(AG5),AG4,0)+IF(UPPER(AH54)=UPPER(AH5),AH4,0)+IF(AI54="",0,IF(LEN(SUBSTITUTE(SUBSTITUTE(UPPER(AI54),"B",""),"D",""))&gt;0,0,IF(AND(ISNUMBER(FIND("B",UPPER(AI54))),ISNUMBER(FIND("D",UPPER(AI54)))),AI4,AI4/2)))+IF(UPPER(AJ54)=UPPER(AJ5),AJ4,0)+IF(UPPER(AK54)=UPPER(AK5),AK4,0)+IF(UPPER(AL54)=UPPER(AL5),AL4,0)+IF(UPPER(AM54)=UPPER(AM5),AM4,0)+IF(AN54="",0,IF(LEN(SUBSTITUTE(SUBSTITUTE(UPPER(AN54),"B",""),"C",""))&gt;0,0,IF(AND(ISNUMBER(FIND("B",UPPER(AN54))),ISNUMBER(FIND("C",UPPER(AN54)))),AN4,AN4/2)))+IF(UPPER(AO54)=UPPER(AO5),AO4,0)+IF(UPPER(AP54)=UPPER(AP5),AP4,0)+IF(UPPER(AQ54)=UPPER(AQ5),AQ4,0)+IF(AR54="",0,IF(LEN(SUBSTITUTE(SUBSTITUTE(UPPER(AR54),"B",""),"C",""))&gt;0,0,IF(AND(ISNUMBER(FIND("B",UPPER(AR54))),ISNUMBER(FIND("C",UPPER(AR54)))),AR4,AR4/2)))</f>
        <v>45</v>
      </c>
      <c r="E54" s="13" t="s">
        <v>63</v>
      </c>
      <c r="F54" s="13" t="s">
        <v>60</v>
      </c>
      <c r="G54" s="13" t="s">
        <v>67</v>
      </c>
      <c r="H54" s="13" t="s">
        <v>60</v>
      </c>
      <c r="I54" s="13" t="s">
        <v>64</v>
      </c>
      <c r="J54" s="13" t="s">
        <v>60</v>
      </c>
      <c r="K54" s="13" t="s">
        <v>221</v>
      </c>
      <c r="L54" s="13" t="s">
        <v>63</v>
      </c>
      <c r="M54" s="13" t="s">
        <v>60</v>
      </c>
      <c r="N54" s="13" t="s">
        <v>64</v>
      </c>
      <c r="O54" s="13" t="s">
        <v>125</v>
      </c>
      <c r="P54" s="13" t="s">
        <v>63</v>
      </c>
      <c r="Q54" s="13" t="s">
        <v>60</v>
      </c>
      <c r="R54" s="13" t="s">
        <v>60</v>
      </c>
      <c r="S54" s="13" t="s">
        <v>64</v>
      </c>
      <c r="T54" s="13" t="s">
        <v>64</v>
      </c>
      <c r="U54" s="13" t="s">
        <v>61</v>
      </c>
      <c r="V54" s="13" t="s">
        <v>70</v>
      </c>
      <c r="W54" s="13" t="s">
        <v>63</v>
      </c>
      <c r="X54" s="13" t="s">
        <v>63</v>
      </c>
      <c r="Y54" s="13" t="s">
        <v>61</v>
      </c>
      <c r="Z54" s="13" t="s">
        <v>60</v>
      </c>
      <c r="AA54" s="13" t="s">
        <v>125</v>
      </c>
      <c r="AB54" s="13" t="s">
        <v>70</v>
      </c>
      <c r="AC54" s="13" t="s">
        <v>63</v>
      </c>
      <c r="AD54" s="13" t="s">
        <v>64</v>
      </c>
      <c r="AE54" s="13" t="s">
        <v>60</v>
      </c>
      <c r="AF54" s="13" t="s">
        <v>61</v>
      </c>
      <c r="AG54" s="13" t="s">
        <v>64</v>
      </c>
      <c r="AH54" s="13" t="s">
        <v>64</v>
      </c>
      <c r="AI54" s="13" t="s">
        <v>74</v>
      </c>
      <c r="AJ54" s="13" t="s">
        <v>60</v>
      </c>
      <c r="AK54" s="13" t="s">
        <v>64</v>
      </c>
      <c r="AL54" s="13" t="s">
        <v>60</v>
      </c>
      <c r="AM54" s="13" t="s">
        <v>60</v>
      </c>
      <c r="AN54" s="13" t="s">
        <v>70</v>
      </c>
      <c r="AO54" s="13" t="s">
        <v>60</v>
      </c>
      <c r="AP54" s="13" t="s">
        <v>64</v>
      </c>
      <c r="AQ54" s="13" t="s">
        <v>63</v>
      </c>
      <c r="AR54" s="13" t="s">
        <v>73</v>
      </c>
    </row>
    <row r="55" ht="15.75" customHeight="1">
      <c r="A55" s="10">
        <v>2.023901703E9</v>
      </c>
      <c r="B55" s="10" t="s">
        <v>268</v>
      </c>
      <c r="C55" s="10" t="s">
        <v>269</v>
      </c>
      <c r="D55" s="12">
        <f>IF(UPPER(E55)=UPPER(E5),E4,0)+IF(UPPER(F55)=UPPER(F5),F4,0)+IF(G55="",0,IF(LEN(SUBSTITUTE(SUBSTITUTE(UPPER(G55),"A",""),"D",""))&gt;0,0,IF(AND(ISNUMBER(FIND("A",UPPER(G55))),ISNUMBER(FIND("D",UPPER(G55)))),G4,G4/2)))+IF(UPPER(H55)=UPPER(H5),H4,0)+IF(UPPER(I55)=UPPER(I5),I4,0)+IF(UPPER(J55)=UPPER(J5),J4,0)+IF(K55="",0,IF(LEN(SUBSTITUTE(SUBSTITUTE(UPPER(K55),"B",""),"D",""))&gt;0,0,IF(AND(ISNUMBER(FIND("B",UPPER(K55))),ISNUMBER(FIND("D",UPPER(K55)))),K4,K4/2)))+IF(UPPER(L55)=UPPER(L5),L4,0)+IF(UPPER(M55)=UPPER(M5),M4,0)+IF(UPPER(N55)=UPPER(N5),N4,0)+IF(O55="",0,IF(LEN(SUBSTITUTE(SUBSTITUTE(UPPER(O55),"B",""),"C",""))&gt;0,0,IF(AND(ISNUMBER(FIND("B",UPPER(O55))),ISNUMBER(FIND("C",UPPER(O55)))),O4,O4/2)))+IF(UPPER(P55)=UPPER(P5),P4,0)+IF(UPPER(Q55)=UPPER(Q5),Q4,0)+IF(UPPER(R55)=UPPER(R5),R4,0)+IF(UPPER(S55)=UPPER(S5),S4,0)+IF(UPPER(T55)=UPPER(T5),T4,0)+IF(U55="",0,IF(LEN(SUBSTITUTE(SUBSTITUTE(UPPER(U55),"B",""),"D",""))&gt;0,0,IF(AND(ISNUMBER(FIND("B",UPPER(U55))),ISNUMBER(FIND("D",UPPER(U55)))),U4,U4/2)))+IF(V55="",0,IF(LEN(SUBSTITUTE(SUBSTITUTE(UPPER(V55),"A",""),"B",""))&gt;0,0,IF(AND(ISNUMBER(FIND("A",UPPER(V55))),ISNUMBER(FIND("B",UPPER(V55)))),V4,V4/2)))+IF(UPPER(W55)=UPPER(W5),W4,0)+IF(UPPER(X55)=UPPER(X5),X4,0)+IF(UPPER(Y55)=UPPER(Y5),Y4,0)+IF(UPPER(Z55)=UPPER(Z5),Z4,0)+IF(AA55="",0,IF(LEN(SUBSTITUTE(SUBSTITUTE(UPPER(AA55),"B",""),"D",""))&gt;0,0,IF(AND(ISNUMBER(FIND("B",UPPER(AA55))),ISNUMBER(FIND("D",UPPER(AA55)))),AA4,AA4/2)))+IF(AB55="",0,IF(LEN(SUBSTITUTE(SUBSTITUTE(UPPER(AB55),"B",""),"C",""))&gt;0,0,IF(AND(ISNUMBER(FIND("B",UPPER(AB55))),ISNUMBER(FIND("C",UPPER(AB55)))),AB4,AB4/2)))+IF(UPPER(AC55)=UPPER(AC5),AC4,0)+IF(UPPER(AD55)=UPPER(AD5),AD4,0)+IF(UPPER(AE55)=UPPER(AE5),AE4,0)+IF(UPPER(AF55)=UPPER(AF5),AF4,0)+IF(UPPER(AG55)=UPPER(AG5),AG4,0)+IF(UPPER(AH55)=UPPER(AH5),AH4,0)+IF(AI55="",0,IF(LEN(SUBSTITUTE(SUBSTITUTE(UPPER(AI55),"B",""),"D",""))&gt;0,0,IF(AND(ISNUMBER(FIND("B",UPPER(AI55))),ISNUMBER(FIND("D",UPPER(AI55)))),AI4,AI4/2)))+IF(UPPER(AJ55)=UPPER(AJ5),AJ4,0)+IF(UPPER(AK55)=UPPER(AK5),AK4,0)+IF(UPPER(AL55)=UPPER(AL5),AL4,0)+IF(UPPER(AM55)=UPPER(AM5),AM4,0)+IF(AN55="",0,IF(LEN(SUBSTITUTE(SUBSTITUTE(UPPER(AN55),"B",""),"C",""))&gt;0,0,IF(AND(ISNUMBER(FIND("B",UPPER(AN55))),ISNUMBER(FIND("C",UPPER(AN55)))),AN4,AN4/2)))+IF(UPPER(AO55)=UPPER(AO5),AO4,0)+IF(UPPER(AP55)=UPPER(AP5),AP4,0)+IF(UPPER(AQ55)=UPPER(AQ5),AQ4,0)+IF(AR55="",0,IF(LEN(SUBSTITUTE(SUBSTITUTE(UPPER(AR55),"B",""),"C",""))&gt;0,0,IF(AND(ISNUMBER(FIND("B",UPPER(AR55))),ISNUMBER(FIND("C",UPPER(AR55)))),AR4,AR4/2)))</f>
        <v>85</v>
      </c>
      <c r="E55" s="13" t="s">
        <v>63</v>
      </c>
      <c r="F55" s="13" t="s">
        <v>60</v>
      </c>
      <c r="G55" s="13" t="s">
        <v>74</v>
      </c>
      <c r="H55" s="13" t="s">
        <v>60</v>
      </c>
      <c r="I55" s="13" t="s">
        <v>61</v>
      </c>
      <c r="J55" s="13" t="s">
        <v>61</v>
      </c>
      <c r="K55" s="13" t="s">
        <v>74</v>
      </c>
      <c r="L55" s="13" t="s">
        <v>63</v>
      </c>
      <c r="M55" s="13" t="s">
        <v>63</v>
      </c>
      <c r="N55" s="13" t="s">
        <v>64</v>
      </c>
      <c r="O55" s="13" t="s">
        <v>73</v>
      </c>
      <c r="P55" s="13" t="s">
        <v>61</v>
      </c>
      <c r="Q55" s="13" t="s">
        <v>60</v>
      </c>
      <c r="R55" s="13" t="s">
        <v>61</v>
      </c>
      <c r="S55" s="13" t="s">
        <v>64</v>
      </c>
      <c r="T55" s="13" t="s">
        <v>63</v>
      </c>
      <c r="U55" s="13" t="s">
        <v>74</v>
      </c>
      <c r="V55" s="13" t="s">
        <v>64</v>
      </c>
      <c r="W55" s="13" t="s">
        <v>60</v>
      </c>
      <c r="X55" s="13" t="s">
        <v>60</v>
      </c>
      <c r="Y55" s="13" t="s">
        <v>64</v>
      </c>
      <c r="Z55" s="13" t="s">
        <v>61</v>
      </c>
      <c r="AA55" s="13" t="s">
        <v>64</v>
      </c>
      <c r="AB55" s="13" t="s">
        <v>73</v>
      </c>
      <c r="AC55" s="13" t="s">
        <v>61</v>
      </c>
      <c r="AD55" s="13" t="s">
        <v>64</v>
      </c>
      <c r="AE55" s="13" t="s">
        <v>60</v>
      </c>
      <c r="AF55" s="13" t="s">
        <v>60</v>
      </c>
      <c r="AG55" s="13" t="s">
        <v>64</v>
      </c>
      <c r="AH55" s="13" t="s">
        <v>64</v>
      </c>
      <c r="AI55" s="13" t="s">
        <v>74</v>
      </c>
      <c r="AJ55" s="13" t="s">
        <v>64</v>
      </c>
      <c r="AK55" s="13" t="s">
        <v>63</v>
      </c>
      <c r="AL55" s="13" t="s">
        <v>64</v>
      </c>
      <c r="AM55" s="13" t="s">
        <v>63</v>
      </c>
      <c r="AN55" s="13" t="s">
        <v>73</v>
      </c>
      <c r="AO55" s="13" t="s">
        <v>60</v>
      </c>
      <c r="AP55" s="13" t="s">
        <v>63</v>
      </c>
      <c r="AQ55" s="13" t="s">
        <v>64</v>
      </c>
      <c r="AR55" s="13" t="s">
        <v>63</v>
      </c>
    </row>
    <row r="56" ht="15.75" customHeight="1">
      <c r="A56" s="16" t="s">
        <v>167</v>
      </c>
      <c r="D56" s="16">
        <f>AVERAGE(D7:D55)</f>
        <v>77.21938776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AR1"/>
    <mergeCell ref="A2:AR2"/>
  </mergeCells>
  <conditionalFormatting sqref="E7:AR55">
    <cfRule type="expression" dxfId="2" priority="1" stopIfTrue="1">
      <formula>AND(E7&lt;&gt;"", LEN(REGEXREPLACE(UPPER(E7), "[" &amp; UPPER(E$5) &amp; "]", "")) &gt; 0)</formula>
    </cfRule>
  </conditionalFormatting>
  <conditionalFormatting sqref="E7:AR55">
    <cfRule type="expression" dxfId="1" priority="2" stopIfTrue="1">
      <formula>AND(E7&lt;&gt;"", OR(UPPER(E7)=UPPER(E$5), AND(ISNUMBER(SEARCH("/", E$5)), ISNUMBER(SEARCH(UPPER(E7), UPPER(E$5))))))</formula>
    </cfRule>
  </conditionalFormatting>
  <conditionalFormatting sqref="E7:AR55">
    <cfRule type="expression" dxfId="0" priority="3" stopIfTrue="1">
      <formula>E7&lt;&gt;""</formula>
    </cfRule>
  </conditionalFormatting>
  <conditionalFormatting sqref="E7:AR55">
    <cfRule type="expression" dxfId="1" priority="4" stopIfTrue="1">
      <formula>AND(E7&lt;&gt;"", UPPER(E7)=UPPER(E$5))</formula>
    </cfRule>
  </conditionalFormatting>
  <conditionalFormatting sqref="E7:AR55">
    <cfRule type="expression" dxfId="2" priority="5" stopIfTrue="1">
      <formula>AND(E7&lt;&gt;"", LEN(REGEXREPLACE(UPPER(E7), "[" &amp; UPPER(E$5) &amp; "]", "")) &gt; 0)</formula>
    </cfRule>
  </conditionalFormatting>
  <conditionalFormatting sqref="E7:AR55">
    <cfRule type="expression" dxfId="0" priority="6" stopIfTrue="1">
      <formula>AND(E7&lt;&gt;"", UPPER(E7)&lt;&gt;UPPER(E$5), LEN(REGEXREPLACE(UPPER(E7), "[" &amp; UPPER(E$5) &amp; "]", "")) = 0)</formula>
    </cfRule>
  </conditionalFormatting>
  <conditionalFormatting sqref="E7:AR55">
    <cfRule type="expression" dxfId="2" priority="7" stopIfTrue="1">
      <formula>AND(E7&lt;&gt;"", LEN(REGEXREPLACE(UPPER(E7), "[" &amp; UPPER(E$5) &amp; "]", "")) &gt; 0)</formula>
    </cfRule>
  </conditionalFormatting>
  <conditionalFormatting sqref="E7:AR55">
    <cfRule type="expression" dxfId="0" priority="8" stopIfTrue="1">
      <formula>E7&lt;&gt;""</formula>
    </cfRule>
  </conditionalFormatting>
  <conditionalFormatting sqref="E7:AR55">
    <cfRule type="expression" dxfId="1" priority="9" stopIfTrue="1">
      <formula>UPPER(E7)=UPPER(E$5)</formula>
    </cfRule>
  </conditionalFormatting>
  <conditionalFormatting sqref="E7:AR55">
    <cfRule type="expression" dxfId="2" priority="10" stopIfTrue="1">
      <formula>AND(E7&lt;&gt;"", UPPER(E7)&lt;&gt;UPPER(E$5))</formula>
    </cfRule>
  </conditionalFormatting>
  <conditionalFormatting sqref="E7:AR55">
    <cfRule type="expression" dxfId="1" priority="11" stopIfTrue="1">
      <formula>UPPER(E7)=UPPER(E$5)</formula>
    </cfRule>
  </conditionalFormatting>
  <conditionalFormatting sqref="E7:AR55">
    <cfRule type="expression" dxfId="0" priority="12" stopIfTrue="1">
      <formula>AND(E7&lt;&gt;"", UPPER(E7)&lt;&gt;UPPER(E$5), ISNUMBER(SEARCH(LEFT(E7,1), E$5)), IF(LEN(E7)&gt;1, ISNUMBER(SEARCH(RIGHT(E7,1), E$5)), TRUE))</formula>
    </cfRule>
  </conditionalFormatting>
  <conditionalFormatting sqref="E7:AR55">
    <cfRule type="expression" dxfId="3" priority="13" stopIfTrue="1">
      <formula>AND(E7&lt;&gt;"", UPPER(E7)&lt;&gt;UPPER(E$5))</formula>
    </cfRule>
  </conditionalFormatting>
  <conditionalFormatting sqref="E7:AR55">
    <cfRule type="expression" dxfId="4" priority="14" stopIfTrue="1">
      <formula>AND(LEN(E7)=1, LEN(E$5)=2, ISNUMBER(SEARCH(UPPER(E7), UPPER(E$5))))</formula>
    </cfRule>
  </conditionalFormatting>
  <conditionalFormatting sqref="E7:AR55">
    <cfRule type="expression" dxfId="5" priority="15" stopIfTrue="1">
      <formula>UPPER(E7)=UPPER(E$5)</formula>
    </cfRule>
  </conditionalFormatting>
  <conditionalFormatting sqref="E7:AR55">
    <cfRule type="expression" dxfId="6" priority="16" stopIfTrue="1">
      <formula>UPPER(E7)=UPPER(E$5)</formula>
    </cfRule>
  </conditionalFormatting>
  <conditionalFormatting sqref="E7:AR55">
    <cfRule type="expression" dxfId="7" priority="17" stopIfTrue="1">
      <formula>AND(E7&lt;&gt;"", UPPER(E7)&lt;&gt;UPPER(E$5))</formula>
    </cfRule>
  </conditionalFormatting>
  <conditionalFormatting sqref="E7:AR55">
    <cfRule type="expression" dxfId="8" priority="18" stopIfTrue="1">
      <formula>AND(E7&lt;&gt;"", UPPER(E7)&lt;&gt;UPPER(E$5), LEN(REGEXREPLACE(UPPER(E7), "[" &amp; UPPER(E$5) &amp; "]", "")) = 0)</formula>
    </cfRule>
  </conditionalFormatting>
  <conditionalFormatting sqref="E7:AR55">
    <cfRule type="expression" dxfId="9" priority="19" stopIfTrue="1">
      <formula>AND(E7&lt;&gt;"", E7&lt;&gt;E$5)</formula>
    </cfRule>
  </conditionalFormatting>
  <conditionalFormatting sqref="E7:AR55">
    <cfRule type="expression" dxfId="10" priority="20" stopIfTrue="1">
      <formula>AND(E7&lt;&gt;"", E7&lt;&gt;E$5, IFERROR(SEARCH(LEFT(E7,1), E$5), 0), IF(LEN(E7)&gt;1, IFERROR(SEARCH(RIGHT(E7,1), E$5), 0), TRUE))</formula>
    </cfRule>
  </conditionalFormatting>
  <conditionalFormatting sqref="E7:AR55">
    <cfRule type="expression" dxfId="11" priority="21" stopIfTrue="1">
      <formula>E7=E$5</formula>
    </cfRule>
  </conditionalFormatting>
  <conditionalFormatting sqref="E7:E55 F37:AR37">
    <cfRule type="expression" dxfId="12" priority="22">
      <formula>AND(E7&lt;&gt;"",UPPER(E7)=UPPER(E5))</formula>
    </cfRule>
  </conditionalFormatting>
  <conditionalFormatting sqref="E7:E55 F37:AR37">
    <cfRule type="expression" dxfId="14" priority="23">
      <formula>AND(E7&lt;&gt;"",UPPER(E7)&lt;&gt;UPPER(E5))</formula>
    </cfRule>
  </conditionalFormatting>
  <conditionalFormatting sqref="F7:F55 T37 AH37 AM37">
    <cfRule type="expression" dxfId="12" priority="24">
      <formula>AND(F7&lt;&gt;"",UPPER(F7)=UPPER(F5))</formula>
    </cfRule>
  </conditionalFormatting>
  <conditionalFormatting sqref="F7:F55 T37 AH37 AM37">
    <cfRule type="expression" dxfId="14" priority="25">
      <formula>AND(F7&lt;&gt;"",UPPER(F7)&lt;&gt;UPPER(F5))</formula>
    </cfRule>
  </conditionalFormatting>
  <conditionalFormatting sqref="G7:G55 U37 AI37 AN37">
    <cfRule type="expression" dxfId="12" priority="26">
      <formula>AND(G7&lt;&gt;"",LEN(SUBSTITUTE(SUBSTITUTE(UPPER(G7),"A",""),"D",""))=0,AND(ISNUMBER(FIND("A",UPPER(G7))),ISNUMBER(FIND("D",UPPER(G7)))))</formula>
    </cfRule>
  </conditionalFormatting>
  <conditionalFormatting sqref="G7:G55 U37 AI37 AN37">
    <cfRule type="expression" dxfId="13" priority="27">
      <formula>AND(G7&lt;&gt;"",LEN(SUBSTITUTE(SUBSTITUTE(UPPER(G7),"A",""),"D",""))=0,NOT(AND(ISNUMBER(FIND("A",UPPER(G7))),ISNUMBER(FIND("D",UPPER(G7))))),OR(ISNUMBER(FIND("A",UPPER(G7))),ISNUMBER(FIND("D",UPPER(G7)))))</formula>
    </cfRule>
  </conditionalFormatting>
  <conditionalFormatting sqref="G7:G55 U37 AI37 AN37">
    <cfRule type="expression" dxfId="14" priority="28">
      <formula>AND(G7&lt;&gt;"",OR(LEN(SUBSTITUTE(SUBSTITUTE(UPPER(G7),"A",""),"D",""))&gt;0,NOT(OR(ISNUMBER(FIND("A",UPPER(G7))),ISNUMBER(FIND("D",UPPER(G7)))))))</formula>
    </cfRule>
  </conditionalFormatting>
  <conditionalFormatting sqref="H7:H55 V37 AJ37 AO37">
    <cfRule type="expression" dxfId="12" priority="29">
      <formula>AND(H7&lt;&gt;"",UPPER(H7)=UPPER(H5))</formula>
    </cfRule>
  </conditionalFormatting>
  <conditionalFormatting sqref="H7:H55 V37 AJ37 AO37">
    <cfRule type="expression" dxfId="14" priority="30">
      <formula>AND(H7&lt;&gt;"",UPPER(H7)&lt;&gt;UPPER(H5))</formula>
    </cfRule>
  </conditionalFormatting>
  <conditionalFormatting sqref="I7:I55 W37 AK37 AP37">
    <cfRule type="expression" dxfId="12" priority="31">
      <formula>AND(I7&lt;&gt;"",UPPER(I7)=UPPER(I5))</formula>
    </cfRule>
  </conditionalFormatting>
  <conditionalFormatting sqref="I7:I55 W37 AK37 AP37">
    <cfRule type="expression" dxfId="14" priority="32">
      <formula>AND(I7&lt;&gt;"",UPPER(I7)&lt;&gt;UPPER(I5))</formula>
    </cfRule>
  </conditionalFormatting>
  <conditionalFormatting sqref="J7:J55 X37 AQ37">
    <cfRule type="expression" dxfId="12" priority="33">
      <formula>AND(J7&lt;&gt;"",UPPER(J7)=UPPER(J5))</formula>
    </cfRule>
  </conditionalFormatting>
  <conditionalFormatting sqref="J7:J55 X37 AQ37">
    <cfRule type="expression" dxfId="14" priority="34">
      <formula>AND(J7&lt;&gt;"",UPPER(J7)&lt;&gt;UPPER(J5))</formula>
    </cfRule>
  </conditionalFormatting>
  <conditionalFormatting sqref="K7:K55 Y37 AR37">
    <cfRule type="expression" dxfId="12" priority="35">
      <formula>AND(K7&lt;&gt;"",LEN(SUBSTITUTE(SUBSTITUTE(UPPER(K7),"B",""),"D",""))=0,AND(ISNUMBER(FIND("B",UPPER(K7))),ISNUMBER(FIND("D",UPPER(K7)))))</formula>
    </cfRule>
  </conditionalFormatting>
  <conditionalFormatting sqref="K7:K55 Y37 AR37">
    <cfRule type="expression" dxfId="13" priority="36">
      <formula>AND(K7&lt;&gt;"",LEN(SUBSTITUTE(SUBSTITUTE(UPPER(K7),"B",""),"D",""))=0,NOT(AND(ISNUMBER(FIND("B",UPPER(K7))),ISNUMBER(FIND("D",UPPER(K7))))),OR(ISNUMBER(FIND("B",UPPER(K7))),ISNUMBER(FIND("D",UPPER(K7)))))</formula>
    </cfRule>
  </conditionalFormatting>
  <conditionalFormatting sqref="K7:K55 Y37 AR37">
    <cfRule type="expression" dxfId="14" priority="37">
      <formula>AND(K7&lt;&gt;"",OR(LEN(SUBSTITUTE(SUBSTITUTE(UPPER(K7),"B",""),"D",""))&gt;0,NOT(OR(ISNUMBER(FIND("B",UPPER(K7))),ISNUMBER(FIND("D",UPPER(K7)))))))</formula>
    </cfRule>
  </conditionalFormatting>
  <conditionalFormatting sqref="L7:L55 Z37">
    <cfRule type="expression" dxfId="12" priority="38">
      <formula>AND(L7&lt;&gt;"",UPPER(L7)=UPPER(L5))</formula>
    </cfRule>
  </conditionalFormatting>
  <conditionalFormatting sqref="L7:L55 Z37">
    <cfRule type="expression" dxfId="14" priority="39">
      <formula>AND(L7&lt;&gt;"",UPPER(L7)&lt;&gt;UPPER(L5))</formula>
    </cfRule>
  </conditionalFormatting>
  <conditionalFormatting sqref="M7:M55 AA37">
    <cfRule type="expression" dxfId="12" priority="40">
      <formula>AND(M7&lt;&gt;"",UPPER(M7)=UPPER(M5))</formula>
    </cfRule>
  </conditionalFormatting>
  <conditionalFormatting sqref="M7:M55 AA37">
    <cfRule type="expression" dxfId="14" priority="41">
      <formula>AND(M7&lt;&gt;"",UPPER(M7)&lt;&gt;UPPER(M5))</formula>
    </cfRule>
  </conditionalFormatting>
  <conditionalFormatting sqref="N7:N55 AB37">
    <cfRule type="expression" dxfId="12" priority="42">
      <formula>AND(N7&lt;&gt;"",UPPER(N7)=UPPER(N5))</formula>
    </cfRule>
  </conditionalFormatting>
  <conditionalFormatting sqref="N7:N55 AB37">
    <cfRule type="expression" dxfId="14" priority="43">
      <formula>AND(N7&lt;&gt;"",UPPER(N7)&lt;&gt;UPPER(N5))</formula>
    </cfRule>
  </conditionalFormatting>
  <conditionalFormatting sqref="O7:O55 AC37">
    <cfRule type="expression" dxfId="12" priority="44">
      <formula>AND(O7&lt;&gt;"",LEN(SUBSTITUTE(SUBSTITUTE(UPPER(O7),"B",""),"C",""))=0,AND(ISNUMBER(FIND("B",UPPER(O7))),ISNUMBER(FIND("C",UPPER(O7)))))</formula>
    </cfRule>
  </conditionalFormatting>
  <conditionalFormatting sqref="O7:O55 AC37">
    <cfRule type="expression" dxfId="13" priority="45">
      <formula>AND(O7&lt;&gt;"",LEN(SUBSTITUTE(SUBSTITUTE(UPPER(O7),"B",""),"C",""))=0,NOT(AND(ISNUMBER(FIND("B",UPPER(O7))),ISNUMBER(FIND("C",UPPER(O7))))),OR(ISNUMBER(FIND("B",UPPER(O7))),ISNUMBER(FIND("C",UPPER(O7)))))</formula>
    </cfRule>
  </conditionalFormatting>
  <conditionalFormatting sqref="O7:O55 AC37">
    <cfRule type="expression" dxfId="14" priority="46">
      <formula>AND(O7&lt;&gt;"",OR(LEN(SUBSTITUTE(SUBSTITUTE(UPPER(O7),"B",""),"C",""))&gt;0,NOT(OR(ISNUMBER(FIND("B",UPPER(O7))),ISNUMBER(FIND("C",UPPER(O7)))))))</formula>
    </cfRule>
  </conditionalFormatting>
  <conditionalFormatting sqref="P7:P55 AD37">
    <cfRule type="expression" dxfId="12" priority="47">
      <formula>AND(P7&lt;&gt;"",UPPER(P7)=UPPER(P5))</formula>
    </cfRule>
  </conditionalFormatting>
  <conditionalFormatting sqref="P7:P55 AD37">
    <cfRule type="expression" dxfId="14" priority="48">
      <formula>AND(P7&lt;&gt;"",UPPER(P7)&lt;&gt;UPPER(P5))</formula>
    </cfRule>
  </conditionalFormatting>
  <conditionalFormatting sqref="Q7:Q55 AE37">
    <cfRule type="expression" dxfId="12" priority="49">
      <formula>AND(Q7&lt;&gt;"",UPPER(Q7)=UPPER(Q5))</formula>
    </cfRule>
  </conditionalFormatting>
  <conditionalFormatting sqref="Q7:Q55 AE37">
    <cfRule type="expression" dxfId="14" priority="50">
      <formula>AND(Q7&lt;&gt;"",UPPER(Q7)&lt;&gt;UPPER(Q5))</formula>
    </cfRule>
  </conditionalFormatting>
  <conditionalFormatting sqref="R7:R55 AF37">
    <cfRule type="expression" dxfId="12" priority="51">
      <formula>AND(R7&lt;&gt;"",UPPER(R7)=UPPER(R5))</formula>
    </cfRule>
  </conditionalFormatting>
  <conditionalFormatting sqref="R7:R55 AF37">
    <cfRule type="expression" dxfId="14" priority="52">
      <formula>AND(R7&lt;&gt;"",UPPER(R7)&lt;&gt;UPPER(R5))</formula>
    </cfRule>
  </conditionalFormatting>
  <conditionalFormatting sqref="S7:S55">
    <cfRule type="expression" dxfId="12" priority="53">
      <formula>AND(S7&lt;&gt;"",UPPER(S7)=UPPER(S5))</formula>
    </cfRule>
  </conditionalFormatting>
  <conditionalFormatting sqref="S7:S55">
    <cfRule type="expression" dxfId="14" priority="54">
      <formula>AND(S7&lt;&gt;"",UPPER(S7)&lt;&gt;UPPER(S5))</formula>
    </cfRule>
  </conditionalFormatting>
  <conditionalFormatting sqref="T7:T55">
    <cfRule type="expression" dxfId="12" priority="55">
      <formula>AND(T7&lt;&gt;"",UPPER(T7)=UPPER(T5))</formula>
    </cfRule>
  </conditionalFormatting>
  <conditionalFormatting sqref="T7:T55">
    <cfRule type="expression" dxfId="14" priority="56">
      <formula>AND(T7&lt;&gt;"",UPPER(T7)&lt;&gt;UPPER(T5))</formula>
    </cfRule>
  </conditionalFormatting>
  <conditionalFormatting sqref="U7:U55">
    <cfRule type="expression" dxfId="12" priority="57">
      <formula>AND(U7&lt;&gt;"",LEN(SUBSTITUTE(SUBSTITUTE(UPPER(U7),"B",""),"D",""))=0,AND(ISNUMBER(FIND("B",UPPER(U7))),ISNUMBER(FIND("D",UPPER(U7)))))</formula>
    </cfRule>
  </conditionalFormatting>
  <conditionalFormatting sqref="U7:U55">
    <cfRule type="expression" dxfId="13" priority="58">
      <formula>AND(U7&lt;&gt;"",LEN(SUBSTITUTE(SUBSTITUTE(UPPER(U7),"B",""),"D",""))=0,NOT(AND(ISNUMBER(FIND("B",UPPER(U7))),ISNUMBER(FIND("D",UPPER(U7))))),OR(ISNUMBER(FIND("B",UPPER(U7))),ISNUMBER(FIND("D",UPPER(U7)))))</formula>
    </cfRule>
  </conditionalFormatting>
  <conditionalFormatting sqref="U7:U55">
    <cfRule type="expression" dxfId="14" priority="59">
      <formula>AND(U7&lt;&gt;"",OR(LEN(SUBSTITUTE(SUBSTITUTE(UPPER(U7),"B",""),"D",""))&gt;0,NOT(OR(ISNUMBER(FIND("B",UPPER(U7))),ISNUMBER(FIND("D",UPPER(U7)))))))</formula>
    </cfRule>
  </conditionalFormatting>
  <conditionalFormatting sqref="V7:V55">
    <cfRule type="expression" dxfId="12" priority="60">
      <formula>AND(V7&lt;&gt;"",LEN(SUBSTITUTE(SUBSTITUTE(UPPER(V7),"A",""),"B",""))=0,AND(ISNUMBER(FIND("A",UPPER(V7))),ISNUMBER(FIND("B",UPPER(V7)))))</formula>
    </cfRule>
  </conditionalFormatting>
  <conditionalFormatting sqref="V7:V55">
    <cfRule type="expression" dxfId="13" priority="61">
      <formula>AND(V7&lt;&gt;"",LEN(SUBSTITUTE(SUBSTITUTE(UPPER(V7),"A",""),"B",""))=0,NOT(AND(ISNUMBER(FIND("A",UPPER(V7))),ISNUMBER(FIND("B",UPPER(V7))))),OR(ISNUMBER(FIND("A",UPPER(V7))),ISNUMBER(FIND("B",UPPER(V7)))))</formula>
    </cfRule>
  </conditionalFormatting>
  <conditionalFormatting sqref="V7:V55">
    <cfRule type="expression" dxfId="14" priority="62">
      <formula>AND(V7&lt;&gt;"",OR(LEN(SUBSTITUTE(SUBSTITUTE(UPPER(V7),"A",""),"B",""))&gt;0,NOT(OR(ISNUMBER(FIND("A",UPPER(V7))),ISNUMBER(FIND("B",UPPER(V7)))))))</formula>
    </cfRule>
  </conditionalFormatting>
  <conditionalFormatting sqref="W7:W55">
    <cfRule type="expression" dxfId="12" priority="63">
      <formula>AND(W7&lt;&gt;"",UPPER(W7)=UPPER(W5))</formula>
    </cfRule>
  </conditionalFormatting>
  <conditionalFormatting sqref="W7:W55">
    <cfRule type="expression" dxfId="14" priority="64">
      <formula>AND(W7&lt;&gt;"",UPPER(W7)&lt;&gt;UPPER(W5))</formula>
    </cfRule>
  </conditionalFormatting>
  <conditionalFormatting sqref="X7:X55">
    <cfRule type="expression" dxfId="12" priority="65">
      <formula>AND(X7&lt;&gt;"",UPPER(X7)=UPPER(X5))</formula>
    </cfRule>
  </conditionalFormatting>
  <conditionalFormatting sqref="X7:X55">
    <cfRule type="expression" dxfId="14" priority="66">
      <formula>AND(X7&lt;&gt;"",UPPER(X7)&lt;&gt;UPPER(X5))</formula>
    </cfRule>
  </conditionalFormatting>
  <conditionalFormatting sqref="Y7:Y55">
    <cfRule type="expression" dxfId="12" priority="67">
      <formula>AND(Y7&lt;&gt;"",UPPER(Y7)=UPPER(Y5))</formula>
    </cfRule>
  </conditionalFormatting>
  <conditionalFormatting sqref="Y7:Y55">
    <cfRule type="expression" dxfId="14" priority="68">
      <formula>AND(Y7&lt;&gt;"",UPPER(Y7)&lt;&gt;UPPER(Y5))</formula>
    </cfRule>
  </conditionalFormatting>
  <conditionalFormatting sqref="Z7:Z55">
    <cfRule type="expression" dxfId="12" priority="69">
      <formula>AND(Z7&lt;&gt;"",UPPER(Z7)=UPPER(Z5))</formula>
    </cfRule>
  </conditionalFormatting>
  <conditionalFormatting sqref="Z7:Z55">
    <cfRule type="expression" dxfId="14" priority="70">
      <formula>AND(Z7&lt;&gt;"",UPPER(Z7)&lt;&gt;UPPER(Z5))</formula>
    </cfRule>
  </conditionalFormatting>
  <conditionalFormatting sqref="AA7:AA55">
    <cfRule type="expression" dxfId="12" priority="71">
      <formula>AND(AA7&lt;&gt;"",LEN(SUBSTITUTE(SUBSTITUTE(UPPER(AA7),"B",""),"D",""))=0,AND(ISNUMBER(FIND("B",UPPER(AA7))),ISNUMBER(FIND("D",UPPER(AA7)))))</formula>
    </cfRule>
  </conditionalFormatting>
  <conditionalFormatting sqref="AA7:AA55">
    <cfRule type="expression" dxfId="13" priority="72">
      <formula>AND(AA7&lt;&gt;"",LEN(SUBSTITUTE(SUBSTITUTE(UPPER(AA7),"B",""),"D",""))=0,NOT(AND(ISNUMBER(FIND("B",UPPER(AA7))),ISNUMBER(FIND("D",UPPER(AA7))))),OR(ISNUMBER(FIND("B",UPPER(AA7))),ISNUMBER(FIND("D",UPPER(AA7)))))</formula>
    </cfRule>
  </conditionalFormatting>
  <conditionalFormatting sqref="AA7:AA55">
    <cfRule type="expression" dxfId="14" priority="73">
      <formula>AND(AA7&lt;&gt;"",OR(LEN(SUBSTITUTE(SUBSTITUTE(UPPER(AA7),"B",""),"D",""))&gt;0,NOT(OR(ISNUMBER(FIND("B",UPPER(AA7))),ISNUMBER(FIND("D",UPPER(AA7)))))))</formula>
    </cfRule>
  </conditionalFormatting>
  <conditionalFormatting sqref="AB7:AB55">
    <cfRule type="expression" dxfId="12" priority="74">
      <formula>AND(AB7&lt;&gt;"",LEN(SUBSTITUTE(SUBSTITUTE(UPPER(AB7),"B",""),"C",""))=0,AND(ISNUMBER(FIND("B",UPPER(AB7))),ISNUMBER(FIND("C",UPPER(AB7)))))</formula>
    </cfRule>
  </conditionalFormatting>
  <conditionalFormatting sqref="AB7:AB55">
    <cfRule type="expression" dxfId="13" priority="75">
      <formula>AND(AB7&lt;&gt;"",LEN(SUBSTITUTE(SUBSTITUTE(UPPER(AB7),"B",""),"C",""))=0,NOT(AND(ISNUMBER(FIND("B",UPPER(AB7))),ISNUMBER(FIND("C",UPPER(AB7))))),OR(ISNUMBER(FIND("B",UPPER(AB7))),ISNUMBER(FIND("C",UPPER(AB7)))))</formula>
    </cfRule>
  </conditionalFormatting>
  <conditionalFormatting sqref="AB7:AB55">
    <cfRule type="expression" dxfId="14" priority="76">
      <formula>AND(AB7&lt;&gt;"",OR(LEN(SUBSTITUTE(SUBSTITUTE(UPPER(AB7),"B",""),"C",""))&gt;0,NOT(OR(ISNUMBER(FIND("B",UPPER(AB7))),ISNUMBER(FIND("C",UPPER(AB7)))))))</formula>
    </cfRule>
  </conditionalFormatting>
  <conditionalFormatting sqref="AC7:AC55">
    <cfRule type="expression" dxfId="12" priority="77">
      <formula>AND(AC7&lt;&gt;"",UPPER(AC7)=UPPER(AC5))</formula>
    </cfRule>
  </conditionalFormatting>
  <conditionalFormatting sqref="AC7:AC55">
    <cfRule type="expression" dxfId="14" priority="78">
      <formula>AND(AC7&lt;&gt;"",UPPER(AC7)&lt;&gt;UPPER(AC5))</formula>
    </cfRule>
  </conditionalFormatting>
  <conditionalFormatting sqref="AD7:AD55">
    <cfRule type="expression" dxfId="12" priority="79">
      <formula>AND(AD7&lt;&gt;"",UPPER(AD7)=UPPER(AD5))</formula>
    </cfRule>
  </conditionalFormatting>
  <conditionalFormatting sqref="AD7:AD55">
    <cfRule type="expression" dxfId="14" priority="80">
      <formula>AND(AD7&lt;&gt;"",UPPER(AD7)&lt;&gt;UPPER(AD5))</formula>
    </cfRule>
  </conditionalFormatting>
  <conditionalFormatting sqref="AE7:AE55">
    <cfRule type="expression" dxfId="12" priority="81">
      <formula>AND(AE7&lt;&gt;"",UPPER(AE7)=UPPER(AE5))</formula>
    </cfRule>
  </conditionalFormatting>
  <conditionalFormatting sqref="AE7:AE55">
    <cfRule type="expression" dxfId="14" priority="82">
      <formula>AND(AE7&lt;&gt;"",UPPER(AE7)&lt;&gt;UPPER(AE5))</formula>
    </cfRule>
  </conditionalFormatting>
  <conditionalFormatting sqref="AF7:AF55">
    <cfRule type="expression" dxfId="12" priority="83">
      <formula>AND(AF7&lt;&gt;"",UPPER(AF7)=UPPER(AF5))</formula>
    </cfRule>
  </conditionalFormatting>
  <conditionalFormatting sqref="AF7:AF55">
    <cfRule type="expression" dxfId="14" priority="84">
      <formula>AND(AF7&lt;&gt;"",UPPER(AF7)&lt;&gt;UPPER(AF5))</formula>
    </cfRule>
  </conditionalFormatting>
  <conditionalFormatting sqref="AG7:AG55">
    <cfRule type="expression" dxfId="12" priority="85">
      <formula>AND(AG7&lt;&gt;"",UPPER(AG7)=UPPER(AG5))</formula>
    </cfRule>
  </conditionalFormatting>
  <conditionalFormatting sqref="AG7:AG55">
    <cfRule type="expression" dxfId="14" priority="86">
      <formula>AND(AG7&lt;&gt;"",UPPER(AG7)&lt;&gt;UPPER(AG5))</formula>
    </cfRule>
  </conditionalFormatting>
  <conditionalFormatting sqref="AH7:AH55">
    <cfRule type="expression" dxfId="12" priority="87">
      <formula>AND(AH7&lt;&gt;"",UPPER(AH7)=UPPER(AH5))</formula>
    </cfRule>
  </conditionalFormatting>
  <conditionalFormatting sqref="AH7:AH55">
    <cfRule type="expression" dxfId="14" priority="88">
      <formula>AND(AH7&lt;&gt;"",UPPER(AH7)&lt;&gt;UPPER(AH5))</formula>
    </cfRule>
  </conditionalFormatting>
  <conditionalFormatting sqref="AI7:AI55">
    <cfRule type="expression" dxfId="12" priority="89">
      <formula>AND(AI7&lt;&gt;"",LEN(SUBSTITUTE(SUBSTITUTE(UPPER(AI7),"B",""),"D",""))=0,AND(ISNUMBER(FIND("B",UPPER(AI7))),ISNUMBER(FIND("D",UPPER(AI7)))))</formula>
    </cfRule>
  </conditionalFormatting>
  <conditionalFormatting sqref="AI7:AI55">
    <cfRule type="expression" dxfId="13" priority="90">
      <formula>AND(AI7&lt;&gt;"",LEN(SUBSTITUTE(SUBSTITUTE(UPPER(AI7),"B",""),"D",""))=0,NOT(AND(ISNUMBER(FIND("B",UPPER(AI7))),ISNUMBER(FIND("D",UPPER(AI7))))),OR(ISNUMBER(FIND("B",UPPER(AI7))),ISNUMBER(FIND("D",UPPER(AI7)))))</formula>
    </cfRule>
  </conditionalFormatting>
  <conditionalFormatting sqref="AI7:AI55">
    <cfRule type="expression" dxfId="14" priority="91">
      <formula>AND(AI7&lt;&gt;"",OR(LEN(SUBSTITUTE(SUBSTITUTE(UPPER(AI7),"B",""),"D",""))&gt;0,NOT(OR(ISNUMBER(FIND("B",UPPER(AI7))),ISNUMBER(FIND("D",UPPER(AI7)))))))</formula>
    </cfRule>
  </conditionalFormatting>
  <conditionalFormatting sqref="AJ7:AJ55">
    <cfRule type="expression" dxfId="12" priority="92">
      <formula>AND(AJ7&lt;&gt;"",UPPER(AJ7)=UPPER(AJ5))</formula>
    </cfRule>
  </conditionalFormatting>
  <conditionalFormatting sqref="AJ7:AJ55">
    <cfRule type="expression" dxfId="14" priority="93">
      <formula>AND(AJ7&lt;&gt;"",UPPER(AJ7)&lt;&gt;UPPER(AJ5))</formula>
    </cfRule>
  </conditionalFormatting>
  <conditionalFormatting sqref="AK7:AK55">
    <cfRule type="expression" dxfId="12" priority="94">
      <formula>AND(AK7&lt;&gt;"",UPPER(AK7)=UPPER(AK5))</formula>
    </cfRule>
  </conditionalFormatting>
  <conditionalFormatting sqref="AK7:AK55">
    <cfRule type="expression" dxfId="14" priority="95">
      <formula>AND(AK7&lt;&gt;"",UPPER(AK7)&lt;&gt;UPPER(AK5))</formula>
    </cfRule>
  </conditionalFormatting>
  <conditionalFormatting sqref="AL7:AL55">
    <cfRule type="expression" dxfId="12" priority="96">
      <formula>AND(AL7&lt;&gt;"",UPPER(AL7)=UPPER(AL5))</formula>
    </cfRule>
  </conditionalFormatting>
  <conditionalFormatting sqref="AL7:AL55">
    <cfRule type="expression" dxfId="14" priority="97">
      <formula>AND(AL7&lt;&gt;"",UPPER(AL7)&lt;&gt;UPPER(AL5))</formula>
    </cfRule>
  </conditionalFormatting>
  <conditionalFormatting sqref="AM7:AM55">
    <cfRule type="expression" dxfId="12" priority="98">
      <formula>AND(AM7&lt;&gt;"",UPPER(AM7)=UPPER(AM5))</formula>
    </cfRule>
  </conditionalFormatting>
  <conditionalFormatting sqref="AM7:AM55">
    <cfRule type="expression" dxfId="14" priority="99">
      <formula>AND(AM7&lt;&gt;"",UPPER(AM7)&lt;&gt;UPPER(AM5))</formula>
    </cfRule>
  </conditionalFormatting>
  <conditionalFormatting sqref="AN7:AN55">
    <cfRule type="expression" dxfId="12" priority="100">
      <formula>AND(AN7&lt;&gt;"",LEN(SUBSTITUTE(SUBSTITUTE(UPPER(AN7),"B",""),"C",""))=0,AND(ISNUMBER(FIND("B",UPPER(AN7))),ISNUMBER(FIND("C",UPPER(AN7)))))</formula>
    </cfRule>
  </conditionalFormatting>
  <conditionalFormatting sqref="AN7:AN55">
    <cfRule type="expression" dxfId="13" priority="101">
      <formula>AND(AN7&lt;&gt;"",LEN(SUBSTITUTE(SUBSTITUTE(UPPER(AN7),"B",""),"C",""))=0,NOT(AND(ISNUMBER(FIND("B",UPPER(AN7))),ISNUMBER(FIND("C",UPPER(AN7))))),OR(ISNUMBER(FIND("B",UPPER(AN7))),ISNUMBER(FIND("C",UPPER(AN7)))))</formula>
    </cfRule>
  </conditionalFormatting>
  <conditionalFormatting sqref="AN7:AN55">
    <cfRule type="expression" dxfId="14" priority="102">
      <formula>AND(AN7&lt;&gt;"",OR(LEN(SUBSTITUTE(SUBSTITUTE(UPPER(AN7),"B",""),"C",""))&gt;0,NOT(OR(ISNUMBER(FIND("B",UPPER(AN7))),ISNUMBER(FIND("C",UPPER(AN7)))))))</formula>
    </cfRule>
  </conditionalFormatting>
  <conditionalFormatting sqref="AO7:AO55">
    <cfRule type="expression" dxfId="12" priority="103">
      <formula>AND(AO7&lt;&gt;"",UPPER(AO7)=UPPER(AO5))</formula>
    </cfRule>
  </conditionalFormatting>
  <conditionalFormatting sqref="AO7:AO55">
    <cfRule type="expression" dxfId="14" priority="104">
      <formula>AND(AO7&lt;&gt;"",UPPER(AO7)&lt;&gt;UPPER(AO5))</formula>
    </cfRule>
  </conditionalFormatting>
  <conditionalFormatting sqref="AP7:AP55">
    <cfRule type="expression" dxfId="12" priority="105">
      <formula>AND(AP7&lt;&gt;"",UPPER(AP7)=UPPER(AP5))</formula>
    </cfRule>
  </conditionalFormatting>
  <conditionalFormatting sqref="AP7:AP55">
    <cfRule type="expression" dxfId="14" priority="106">
      <formula>AND(AP7&lt;&gt;"",UPPER(AP7)&lt;&gt;UPPER(AP5))</formula>
    </cfRule>
  </conditionalFormatting>
  <conditionalFormatting sqref="AQ7:AQ55">
    <cfRule type="expression" dxfId="12" priority="107">
      <formula>AND(AQ7&lt;&gt;"",UPPER(AQ7)=UPPER(AQ5))</formula>
    </cfRule>
  </conditionalFormatting>
  <conditionalFormatting sqref="AQ7:AQ55">
    <cfRule type="expression" dxfId="14" priority="108">
      <formula>AND(AQ7&lt;&gt;"",UPPER(AQ7)&lt;&gt;UPPER(AQ5))</formula>
    </cfRule>
  </conditionalFormatting>
  <conditionalFormatting sqref="AR7:AR55">
    <cfRule type="expression" dxfId="12" priority="109">
      <formula>AND(AR7&lt;&gt;"",LEN(SUBSTITUTE(SUBSTITUTE(UPPER(AR7),"B",""),"C",""))=0,AND(ISNUMBER(FIND("B",UPPER(AR7))),ISNUMBER(FIND("C",UPPER(AR7)))))</formula>
    </cfRule>
  </conditionalFormatting>
  <conditionalFormatting sqref="AR7:AR55">
    <cfRule type="expression" dxfId="13" priority="110">
      <formula>AND(AR7&lt;&gt;"",LEN(SUBSTITUTE(SUBSTITUTE(UPPER(AR7),"B",""),"C",""))=0,NOT(AND(ISNUMBER(FIND("B",UPPER(AR7))),ISNUMBER(FIND("C",UPPER(AR7))))),OR(ISNUMBER(FIND("B",UPPER(AR7))),ISNUMBER(FIND("C",UPPER(AR7)))))</formula>
    </cfRule>
  </conditionalFormatting>
  <conditionalFormatting sqref="AR7:AR55">
    <cfRule type="expression" dxfId="14" priority="111">
      <formula>AND(AR7&lt;&gt;"",OR(LEN(SUBSTITUTE(SUBSTITUTE(UPPER(AR7),"B",""),"C",""))&gt;0,NOT(OR(ISNUMBER(FIND("B",UPPER(AR7))),ISNUMBER(FIND("C",UPPER(AR7)))))))</formula>
    </cfRule>
  </conditionalFormatting>
  <printOptions/>
  <pageMargins bottom="1.0" footer="0.0" header="0.0" left="0.75" right="0.75" top="1.0"/>
  <pageSetup orientation="landscape"/>
  <drawing r:id="rId1"/>
</worksheet>
</file>